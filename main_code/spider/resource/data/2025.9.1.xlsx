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<sst xmlns="http://schemas.openxmlformats.org/spreadsheetml/2006/main" count="170" uniqueCount="132">
  <si>
    <t>学号</t>
  </si>
  <si>
    <t>密码</t>
  </si>
  <si>
    <t>长征跑</t>
  </si>
  <si>
    <t>红色竞赛</t>
  </si>
  <si>
    <t>线上学习</t>
  </si>
  <si>
    <t>考试</t>
  </si>
  <si>
    <t>价格</t>
  </si>
  <si>
    <t>途径</t>
  </si>
  <si>
    <t>时间</t>
  </si>
  <si>
    <t>目标里程</t>
  </si>
  <si>
    <t>&lt;4</t>
  </si>
  <si>
    <t>手动停止</t>
  </si>
  <si>
    <t>备注</t>
  </si>
  <si>
    <t>是否通知</t>
  </si>
  <si>
    <t>红竞期望分数</t>
  </si>
  <si>
    <t>视频状态</t>
  </si>
  <si>
    <t>考试状态</t>
  </si>
  <si>
    <t>怕被抓不敢跑了</t>
  </si>
  <si>
    <t>zxn061116</t>
  </si>
  <si>
    <t>abcd050149</t>
  </si>
  <si>
    <t>王可</t>
  </si>
  <si>
    <t>wzz24403010317</t>
  </si>
  <si>
    <t>24408010203</t>
  </si>
  <si>
    <t>24408010205</t>
  </si>
  <si>
    <t>24408010321</t>
  </si>
  <si>
    <t>11.13</t>
  </si>
  <si>
    <t>tao20051201</t>
  </si>
  <si>
    <t>24408040201</t>
  </si>
  <si>
    <t>001030</t>
  </si>
  <si>
    <t>24413040253</t>
  </si>
  <si>
    <t>zcy070523</t>
  </si>
  <si>
    <t>hj2007020710.</t>
  </si>
  <si>
    <t>密码改了</t>
  </si>
  <si>
    <t>24402010203</t>
  </si>
  <si>
    <t>dxy20060304</t>
  </si>
  <si>
    <t>psy2006psy</t>
  </si>
  <si>
    <t>罗大海</t>
  </si>
  <si>
    <t>微信</t>
  </si>
  <si>
    <t>90-95</t>
  </si>
  <si>
    <t>1q2w3e4r5t</t>
  </si>
  <si>
    <t>29min</t>
  </si>
  <si>
    <t>yxj20064956</t>
  </si>
  <si>
    <t>qwertasdf1Q</t>
  </si>
  <si>
    <t>su20050423lun</t>
  </si>
  <si>
    <t>yxr20060312</t>
  </si>
  <si>
    <t>zxm061115</t>
  </si>
  <si>
    <t>80-90</t>
  </si>
  <si>
    <t>是</t>
  </si>
  <si>
    <t>a145103a</t>
  </si>
  <si>
    <t>追逐</t>
  </si>
  <si>
    <t>Oyg20061103</t>
  </si>
  <si>
    <t>24414010115</t>
  </si>
  <si>
    <t>ysld1103</t>
  </si>
  <si>
    <t>060109hj</t>
  </si>
  <si>
    <t>24405010444</t>
  </si>
  <si>
    <t>25418010212</t>
  </si>
  <si>
    <t>25406030203</t>
  </si>
  <si>
    <t>24413040117</t>
  </si>
  <si>
    <t>11.14</t>
  </si>
  <si>
    <t>24402010516</t>
  </si>
  <si>
    <t>24401030229</t>
  </si>
  <si>
    <t>24401030230</t>
  </si>
  <si>
    <t>24401030227</t>
  </si>
  <si>
    <t>24402010716</t>
  </si>
  <si>
    <t>24406060149</t>
  </si>
  <si>
    <t>2006322hy</t>
  </si>
  <si>
    <t>24405100229</t>
  </si>
  <si>
    <t>11.15</t>
  </si>
  <si>
    <t>24405010426</t>
  </si>
  <si>
    <t>24402010627</t>
  </si>
  <si>
    <t>11.16</t>
  </si>
  <si>
    <t>24406030246</t>
  </si>
  <si>
    <t>24413040331</t>
  </si>
  <si>
    <t>24413040332</t>
  </si>
  <si>
    <t>24413040334</t>
  </si>
  <si>
    <t>24413040333</t>
  </si>
  <si>
    <t>24414010323</t>
  </si>
  <si>
    <t>24401030205</t>
  </si>
  <si>
    <t>24401030206</t>
  </si>
  <si>
    <t>24401030207</t>
  </si>
  <si>
    <t>25413040234</t>
  </si>
  <si>
    <t>24413040248</t>
  </si>
  <si>
    <t>24414030152</t>
  </si>
  <si>
    <t>24414030140</t>
  </si>
  <si>
    <t>25401030238</t>
  </si>
  <si>
    <t>25401030237</t>
  </si>
  <si>
    <t>25401030235</t>
  </si>
  <si>
    <t>24405010443</t>
  </si>
  <si>
    <t>24404010522</t>
  </si>
  <si>
    <t>24404010521</t>
  </si>
  <si>
    <t>24404010520</t>
  </si>
  <si>
    <t>25401030118</t>
  </si>
  <si>
    <t>24404010430</t>
  </si>
  <si>
    <t>5201314zn</t>
  </si>
  <si>
    <t>24403010228</t>
  </si>
  <si>
    <t>pxy060428</t>
  </si>
  <si>
    <t>24402010306</t>
  </si>
  <si>
    <t>24403010421</t>
  </si>
  <si>
    <t>24403010424</t>
  </si>
  <si>
    <t>22603098413</t>
  </si>
  <si>
    <t>24402010538</t>
  </si>
  <si>
    <t>24413040128</t>
  </si>
  <si>
    <t>25411010220</t>
  </si>
  <si>
    <t>25411010221</t>
  </si>
  <si>
    <t>25411010222</t>
  </si>
  <si>
    <t>25411010223</t>
  </si>
  <si>
    <t>25406050316</t>
  </si>
  <si>
    <t>25406050338</t>
  </si>
  <si>
    <t>24403010417</t>
  </si>
  <si>
    <t>24403010416</t>
  </si>
  <si>
    <t>24417040122</t>
  </si>
  <si>
    <t>24403010243</t>
  </si>
  <si>
    <t>24402010616</t>
  </si>
  <si>
    <t>22606098941</t>
  </si>
  <si>
    <t>24404010532</t>
  </si>
  <si>
    <t>24404010535</t>
  </si>
  <si>
    <t>24405010445</t>
  </si>
  <si>
    <t>25402010729</t>
  </si>
  <si>
    <t>22603098232</t>
  </si>
  <si>
    <t>24401030208</t>
  </si>
  <si>
    <t>24408030217</t>
  </si>
  <si>
    <t>24408030216</t>
  </si>
  <si>
    <t>24408030211</t>
  </si>
  <si>
    <t>24402010210</t>
  </si>
  <si>
    <t>24402010205</t>
  </si>
  <si>
    <t>24406060243</t>
  </si>
  <si>
    <t>24405010106</t>
  </si>
  <si>
    <t>25401030136</t>
  </si>
  <si>
    <t>25401030127</t>
  </si>
  <si>
    <t>24403010407</t>
  </si>
  <si>
    <t>24405100228</t>
  </si>
  <si>
    <t>25408030206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</si>
</sst>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</numFmts>
  <fonts count="22"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6"/>
  <sheetViews>
    <sheetView tabSelected="1" workbookViewId="0">
      <pane ySplit="1" topLeftCell="A225" activePane="bottomLeft" state="frozen"/>
      <selection/>
      <selection pane="bottomLeft" activeCell="N237" sqref="N237"/>
    </sheetView>
  </sheetViews>
  <sheetFormatPr defaultColWidth="9" defaultRowHeight="14.4"/>
  <cols>
    <col min="1" max="1" width="15.7777777777778" style="2" customWidth="1"/>
    <col min="2" max="2" width="7.55555555555556" style="3" customWidth="1"/>
    <col min="3" max="3" width="7.66666666666667" style="3" customWidth="1"/>
    <col min="4" max="5" width="9.66666666666667" style="3" customWidth="1"/>
    <col min="6" max="6" width="5.66666666666667" style="3" customWidth="1"/>
    <col min="7" max="7" width="10.7777777777778" style="4"/>
    <col min="8" max="8" width="9" style="1"/>
    <col min="9" max="9" width="9" style="3"/>
    <col min="10" max="10" width="9" style="1"/>
    <col min="11" max="11" width="5.88888888888889" style="5" customWidth="1"/>
    <col min="12" max="12" width="9.55555555555556" style="1" customWidth="1"/>
    <col min="13" max="13" width="8.44444444444444" style="1" customWidth="1"/>
    <col min="14" max="14" width="9" style="1"/>
    <col min="15" max="15" width="8.33333333333333" style="1" customWidth="1"/>
    <col min="16" max="16" width="8.55555555555556" style="6" customWidth="1"/>
    <col min="17" max="17" width="9" style="3"/>
    <col min="18" max="16384" width="9" style="1"/>
  </cols>
  <sheetData>
    <row r="1" s="1" customFormat="1" ht="15.15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</row>
    <row r="2" s="1" customFormat="1" spans="1:17">
      <c r="A2" s="7">
        <v>24405010313</v>
      </c>
      <c r="B2" s="3"/>
      <c r="C2" s="3">
        <v>1</v>
      </c>
      <c r="D2" s="3">
        <v>0</v>
      </c>
      <c r="E2" s="3">
        <v>0</v>
      </c>
      <c r="F2" s="3">
        <v>0</v>
      </c>
      <c r="G2" s="8">
        <v>21</v>
      </c>
      <c r="H2" s="1">
        <v>328</v>
      </c>
      <c r="I2" s="3">
        <v>9.27</v>
      </c>
      <c r="L2" s="1">
        <v>1</v>
      </c>
      <c r="M2" s="1" t="s">
        <v>17</v>
      </c>
      <c r="P2" s="3"/>
      <c r="Q2" s="3"/>
    </row>
    <row r="3" s="1" customFormat="1" spans="1:17">
      <c r="A3" s="9">
        <v>24405010315</v>
      </c>
      <c r="B3" s="3"/>
      <c r="C3" s="3">
        <v>1</v>
      </c>
      <c r="D3" s="3">
        <v>0</v>
      </c>
      <c r="E3" s="3">
        <v>0</v>
      </c>
      <c r="F3" s="3">
        <v>0</v>
      </c>
      <c r="G3" s="8"/>
      <c r="I3" s="3"/>
      <c r="L3" s="1">
        <v>1</v>
      </c>
      <c r="P3" s="3"/>
      <c r="Q3" s="3"/>
    </row>
    <row r="4" s="1" customFormat="1" spans="1:17">
      <c r="A4" s="9">
        <v>24405010311</v>
      </c>
      <c r="B4" s="3" t="s">
        <v>18</v>
      </c>
      <c r="C4" s="3">
        <v>1</v>
      </c>
      <c r="D4" s="3">
        <v>0</v>
      </c>
      <c r="E4" s="3">
        <v>0</v>
      </c>
      <c r="F4" s="3">
        <v>0</v>
      </c>
      <c r="G4" s="8"/>
      <c r="I4" s="3"/>
      <c r="L4" s="1">
        <v>1</v>
      </c>
      <c r="P4" s="3"/>
      <c r="Q4" s="3"/>
    </row>
    <row r="5" s="1" customFormat="1" spans="1:17">
      <c r="A5" s="9">
        <v>24405010316</v>
      </c>
      <c r="B5" s="3"/>
      <c r="C5" s="3">
        <v>1</v>
      </c>
      <c r="D5" s="3">
        <v>0</v>
      </c>
      <c r="E5" s="3">
        <v>0</v>
      </c>
      <c r="F5" s="3">
        <v>0</v>
      </c>
      <c r="G5" s="8"/>
      <c r="I5" s="3"/>
      <c r="L5" s="1">
        <v>1</v>
      </c>
      <c r="P5" s="3"/>
      <c r="Q5" s="3"/>
    </row>
    <row r="6" s="1" customFormat="1" spans="1:17">
      <c r="A6" s="9">
        <v>24405010302</v>
      </c>
      <c r="B6" s="3" t="s">
        <v>19</v>
      </c>
      <c r="C6" s="3">
        <v>1</v>
      </c>
      <c r="D6" s="3">
        <v>0</v>
      </c>
      <c r="E6" s="3">
        <v>0</v>
      </c>
      <c r="F6" s="3">
        <v>0</v>
      </c>
      <c r="G6" s="8"/>
      <c r="I6" s="3"/>
      <c r="L6" s="1">
        <v>1</v>
      </c>
      <c r="P6" s="3"/>
      <c r="Q6" s="3"/>
    </row>
    <row r="7" s="1" customFormat="1" spans="1:17">
      <c r="A7" s="9">
        <v>24405010220</v>
      </c>
      <c r="B7" s="3"/>
      <c r="C7" s="3">
        <v>1</v>
      </c>
      <c r="D7" s="3">
        <v>0</v>
      </c>
      <c r="E7" s="3">
        <v>0</v>
      </c>
      <c r="F7" s="3">
        <v>0</v>
      </c>
      <c r="G7" s="8"/>
      <c r="I7" s="3"/>
      <c r="L7" s="1">
        <v>1</v>
      </c>
      <c r="P7" s="3"/>
      <c r="Q7" s="3"/>
    </row>
    <row r="8" s="1" customFormat="1" ht="15.15" spans="1:17">
      <c r="A8" s="10">
        <v>24405010221</v>
      </c>
      <c r="B8" s="3"/>
      <c r="C8" s="3">
        <v>1</v>
      </c>
      <c r="D8" s="3">
        <v>0</v>
      </c>
      <c r="E8" s="3">
        <v>0</v>
      </c>
      <c r="F8" s="3">
        <v>0</v>
      </c>
      <c r="G8" s="8"/>
      <c r="I8" s="3"/>
      <c r="L8" s="1">
        <v>1</v>
      </c>
      <c r="P8" s="3"/>
      <c r="Q8" s="3"/>
    </row>
    <row r="9" s="1" customFormat="1" spans="1:17">
      <c r="A9" s="7">
        <v>24402050319</v>
      </c>
      <c r="B9" s="3"/>
      <c r="C9" s="3">
        <v>1</v>
      </c>
      <c r="D9" s="3">
        <v>1</v>
      </c>
      <c r="E9" s="3">
        <v>0</v>
      </c>
      <c r="F9" s="3">
        <v>0</v>
      </c>
      <c r="G9" s="4">
        <f>75/2</f>
        <v>37.5</v>
      </c>
      <c r="H9" s="1" t="s">
        <v>20</v>
      </c>
      <c r="I9" s="3"/>
      <c r="P9" s="3"/>
      <c r="Q9" s="3"/>
    </row>
    <row r="10" s="1" customFormat="1" spans="1:17">
      <c r="A10" s="9">
        <v>24403010317</v>
      </c>
      <c r="B10" s="3" t="s">
        <v>21</v>
      </c>
      <c r="C10" s="3">
        <v>1</v>
      </c>
      <c r="D10" s="3">
        <v>1</v>
      </c>
      <c r="E10" s="3">
        <v>0</v>
      </c>
      <c r="F10" s="3">
        <v>0</v>
      </c>
      <c r="G10" s="4"/>
      <c r="I10" s="3"/>
      <c r="P10" s="3"/>
      <c r="Q10" s="3"/>
    </row>
    <row r="11" s="1" customFormat="1" ht="15.15" spans="1:17">
      <c r="A11" s="10">
        <v>24403010326</v>
      </c>
      <c r="B11" s="3"/>
      <c r="C11" s="3">
        <v>1</v>
      </c>
      <c r="D11" s="3">
        <v>1</v>
      </c>
      <c r="E11" s="3">
        <v>0</v>
      </c>
      <c r="F11" s="3">
        <v>0</v>
      </c>
      <c r="G11" s="4"/>
      <c r="I11" s="3"/>
      <c r="P11" s="3"/>
      <c r="Q11" s="3"/>
    </row>
    <row r="12" s="1" customFormat="1" spans="1:17">
      <c r="A12" s="7">
        <v>22610099212</v>
      </c>
      <c r="B12" s="11"/>
      <c r="C12" s="3">
        <v>1</v>
      </c>
      <c r="D12" s="3">
        <v>1</v>
      </c>
      <c r="E12" s="3">
        <v>0</v>
      </c>
      <c r="F12" s="3">
        <v>0</v>
      </c>
      <c r="G12" s="4">
        <f>80/2</f>
        <v>40</v>
      </c>
      <c r="H12" s="1" t="s">
        <v>20</v>
      </c>
      <c r="I12" s="3">
        <v>9.28</v>
      </c>
      <c r="P12" s="3"/>
      <c r="Q12" s="3"/>
    </row>
    <row r="13" s="1" customFormat="1" spans="1:17">
      <c r="A13" s="9">
        <v>22610099214</v>
      </c>
      <c r="B13" s="11"/>
      <c r="C13" s="3">
        <v>1</v>
      </c>
      <c r="D13" s="3">
        <v>1</v>
      </c>
      <c r="E13" s="3">
        <v>0</v>
      </c>
      <c r="F13" s="3">
        <v>0</v>
      </c>
      <c r="G13" s="4"/>
      <c r="I13" s="3"/>
      <c r="P13" s="3"/>
      <c r="Q13" s="3"/>
    </row>
    <row r="14" s="1" customFormat="1" spans="1:17">
      <c r="A14" s="9">
        <v>22610099211</v>
      </c>
      <c r="B14" s="11"/>
      <c r="C14" s="3">
        <v>1</v>
      </c>
      <c r="D14" s="3">
        <v>1</v>
      </c>
      <c r="E14" s="3">
        <v>0</v>
      </c>
      <c r="F14" s="3">
        <v>0</v>
      </c>
      <c r="G14" s="4"/>
      <c r="I14" s="3"/>
      <c r="P14" s="3"/>
      <c r="Q14" s="3"/>
    </row>
    <row r="15" s="1" customFormat="1" ht="15.15" spans="1:17">
      <c r="A15" s="10">
        <v>22610099012</v>
      </c>
      <c r="B15" s="11"/>
      <c r="C15" s="3">
        <v>1</v>
      </c>
      <c r="D15" s="3">
        <v>1</v>
      </c>
      <c r="E15" s="3">
        <v>0</v>
      </c>
      <c r="F15" s="3">
        <v>0</v>
      </c>
      <c r="G15" s="4"/>
      <c r="I15" s="3"/>
      <c r="P15" s="3"/>
      <c r="Q15" s="3"/>
    </row>
    <row r="16" s="1" customFormat="1" spans="1:17">
      <c r="A16" s="7" t="s">
        <v>22</v>
      </c>
      <c r="B16" s="3"/>
      <c r="C16" s="3">
        <v>1</v>
      </c>
      <c r="D16" s="3">
        <v>1</v>
      </c>
      <c r="E16" s="3">
        <v>1</v>
      </c>
      <c r="F16" s="3">
        <v>1</v>
      </c>
      <c r="G16" s="4">
        <v>20</v>
      </c>
      <c r="H16" s="1">
        <v>28</v>
      </c>
      <c r="I16" s="3">
        <v>9.29</v>
      </c>
      <c r="J16" s="1">
        <v>40</v>
      </c>
      <c r="P16" s="3"/>
      <c r="Q16" s="3"/>
    </row>
    <row r="17" s="1" customFormat="1" spans="1:17">
      <c r="A17" s="12">
        <v>24408010206</v>
      </c>
      <c r="B17" s="3"/>
      <c r="C17" s="3">
        <v>1</v>
      </c>
      <c r="D17" s="3">
        <v>1</v>
      </c>
      <c r="E17" s="3">
        <v>1</v>
      </c>
      <c r="F17" s="3">
        <v>1</v>
      </c>
      <c r="G17" s="4">
        <v>20</v>
      </c>
      <c r="H17" s="1"/>
      <c r="I17" s="3"/>
      <c r="J17" s="1">
        <v>40</v>
      </c>
      <c r="P17" s="3"/>
      <c r="Q17" s="3"/>
    </row>
    <row r="18" s="1" customFormat="1" spans="1:17">
      <c r="A18" s="12">
        <v>24408010218</v>
      </c>
      <c r="B18" s="3"/>
      <c r="C18" s="3">
        <v>1</v>
      </c>
      <c r="D18" s="3">
        <v>1</v>
      </c>
      <c r="E18" s="3">
        <v>1</v>
      </c>
      <c r="F18" s="3">
        <v>1</v>
      </c>
      <c r="G18" s="4">
        <v>20</v>
      </c>
      <c r="H18" s="1"/>
      <c r="I18" s="3"/>
      <c r="J18" s="1">
        <v>40</v>
      </c>
      <c r="P18" s="3"/>
      <c r="Q18" s="3"/>
    </row>
    <row r="19" s="1" customFormat="1" spans="1:17">
      <c r="A19" s="12">
        <v>24408010103</v>
      </c>
      <c r="B19" s="3"/>
      <c r="C19" s="3">
        <v>1</v>
      </c>
      <c r="D19" s="3">
        <v>1</v>
      </c>
      <c r="E19" s="3">
        <v>1</v>
      </c>
      <c r="F19" s="3">
        <v>1</v>
      </c>
      <c r="G19" s="4">
        <v>20</v>
      </c>
      <c r="H19" s="1"/>
      <c r="I19" s="3"/>
      <c r="J19" s="1">
        <v>40</v>
      </c>
      <c r="P19" s="3"/>
      <c r="Q19" s="3"/>
    </row>
    <row r="20" s="1" customFormat="1" ht="15.15" spans="1:17">
      <c r="A20" s="10" t="s">
        <v>23</v>
      </c>
      <c r="B20" s="3"/>
      <c r="C20" s="3">
        <v>1</v>
      </c>
      <c r="D20" s="3">
        <v>1</v>
      </c>
      <c r="E20" s="3">
        <v>0</v>
      </c>
      <c r="F20" s="3">
        <v>0</v>
      </c>
      <c r="G20" s="4">
        <v>17</v>
      </c>
      <c r="H20" s="1"/>
      <c r="I20" s="3"/>
      <c r="J20" s="1">
        <v>40</v>
      </c>
      <c r="P20" s="3"/>
      <c r="Q20" s="3"/>
    </row>
    <row r="21" s="1" customFormat="1" ht="15.15" spans="1:17">
      <c r="A21" s="10" t="s">
        <v>24</v>
      </c>
      <c r="B21" s="3"/>
      <c r="C21" s="3">
        <v>1</v>
      </c>
      <c r="D21" s="3">
        <v>1</v>
      </c>
      <c r="E21" s="3">
        <v>1</v>
      </c>
      <c r="F21" s="3">
        <v>1</v>
      </c>
      <c r="G21" s="4">
        <v>20</v>
      </c>
      <c r="H21" s="1"/>
      <c r="I21" s="3" t="s">
        <v>25</v>
      </c>
      <c r="J21" s="1">
        <v>40</v>
      </c>
      <c r="P21" s="3"/>
      <c r="Q21" s="3"/>
    </row>
    <row r="22" s="1" customFormat="1" spans="1:17">
      <c r="A22" s="2">
        <v>24408040203</v>
      </c>
      <c r="B22" s="3" t="s">
        <v>26</v>
      </c>
      <c r="C22" s="3">
        <v>1</v>
      </c>
      <c r="D22" s="3">
        <v>0</v>
      </c>
      <c r="E22" s="3">
        <v>0</v>
      </c>
      <c r="F22" s="3">
        <v>0</v>
      </c>
      <c r="G22" s="8">
        <v>15</v>
      </c>
      <c r="H22" s="1">
        <v>315</v>
      </c>
      <c r="I22" s="3">
        <v>10.25</v>
      </c>
      <c r="P22" s="3"/>
      <c r="Q22" s="3"/>
    </row>
    <row r="23" s="1" customFormat="1" ht="15.15" spans="1:17">
      <c r="A23" s="2" t="s">
        <v>27</v>
      </c>
      <c r="B23" s="17" t="s">
        <v>28</v>
      </c>
      <c r="C23" s="3">
        <v>1</v>
      </c>
      <c r="D23" s="3">
        <v>0</v>
      </c>
      <c r="E23" s="3">
        <v>0</v>
      </c>
      <c r="F23" s="3">
        <v>0</v>
      </c>
      <c r="G23" s="4">
        <v>15</v>
      </c>
      <c r="H23" s="1"/>
      <c r="I23" s="3"/>
      <c r="P23" s="3"/>
      <c r="Q23" s="3"/>
    </row>
    <row r="24" s="1" customFormat="1" spans="1:17">
      <c r="A24" s="7">
        <v>24413040247</v>
      </c>
      <c r="B24" s="3"/>
      <c r="C24" s="3">
        <v>1</v>
      </c>
      <c r="D24" s="3">
        <v>1</v>
      </c>
      <c r="E24" s="3">
        <v>0</v>
      </c>
      <c r="F24" s="3">
        <v>0</v>
      </c>
      <c r="G24" s="4">
        <v>18</v>
      </c>
      <c r="H24" s="1"/>
      <c r="I24" s="3"/>
      <c r="P24" s="3"/>
      <c r="Q24" s="3"/>
    </row>
    <row r="25" s="1" customFormat="1" spans="1:17">
      <c r="A25" s="9">
        <v>24413040252</v>
      </c>
      <c r="B25" s="3"/>
      <c r="C25" s="3">
        <v>1</v>
      </c>
      <c r="D25" s="3">
        <v>1</v>
      </c>
      <c r="E25" s="3">
        <v>0</v>
      </c>
      <c r="F25" s="3">
        <v>0</v>
      </c>
      <c r="G25" s="4">
        <v>18</v>
      </c>
      <c r="H25" s="1"/>
      <c r="I25" s="3"/>
      <c r="P25" s="3"/>
      <c r="Q25" s="3"/>
    </row>
    <row r="26" s="1" customFormat="1" ht="15.15" spans="1:17">
      <c r="A26" s="10">
        <v>24413040250</v>
      </c>
      <c r="B26" s="3"/>
      <c r="C26" s="3">
        <v>1</v>
      </c>
      <c r="D26" s="3">
        <v>1</v>
      </c>
      <c r="E26" s="3">
        <v>0</v>
      </c>
      <c r="F26" s="3">
        <v>0</v>
      </c>
      <c r="G26" s="4">
        <v>18</v>
      </c>
      <c r="H26" s="1"/>
      <c r="I26" s="3"/>
      <c r="P26" s="3"/>
      <c r="Q26" s="3"/>
    </row>
    <row r="27" s="1" customFormat="1" ht="15.15" spans="1:17">
      <c r="A27" s="10">
        <v>24413040255</v>
      </c>
      <c r="B27" s="3"/>
      <c r="C27" s="3">
        <v>1</v>
      </c>
      <c r="D27" s="3">
        <v>1</v>
      </c>
      <c r="E27" s="3">
        <v>0</v>
      </c>
      <c r="F27" s="3">
        <v>0</v>
      </c>
      <c r="G27" s="4">
        <v>18</v>
      </c>
      <c r="H27" s="1"/>
      <c r="I27" s="3"/>
      <c r="P27" s="3"/>
      <c r="Q27" s="3"/>
    </row>
    <row r="28" s="1" customFormat="1" spans="1:17">
      <c r="A28" s="2" t="s">
        <v>29</v>
      </c>
      <c r="B28" s="3"/>
      <c r="C28" s="3">
        <v>1</v>
      </c>
      <c r="D28" s="3">
        <v>1</v>
      </c>
      <c r="E28" s="3">
        <v>0</v>
      </c>
      <c r="F28" s="3">
        <v>0</v>
      </c>
      <c r="G28" s="4">
        <v>15</v>
      </c>
      <c r="H28" s="1"/>
      <c r="I28" s="3"/>
      <c r="P28" s="3"/>
      <c r="Q28" s="3"/>
    </row>
    <row r="29" s="1" customFormat="1" spans="1:17">
      <c r="A29" s="2">
        <v>24404010232</v>
      </c>
      <c r="B29" s="3">
        <v>173782</v>
      </c>
      <c r="C29" s="3">
        <v>1</v>
      </c>
      <c r="D29" s="3">
        <v>1</v>
      </c>
      <c r="E29" s="3">
        <v>0</v>
      </c>
      <c r="F29" s="3">
        <v>0</v>
      </c>
      <c r="G29" s="4">
        <v>17</v>
      </c>
      <c r="H29" s="1">
        <v>328</v>
      </c>
      <c r="I29" s="3"/>
      <c r="P29" s="3"/>
      <c r="Q29" s="3"/>
    </row>
    <row r="30" s="1" customFormat="1" spans="1:17">
      <c r="A30" s="2">
        <v>24404010212</v>
      </c>
      <c r="B30" s="3"/>
      <c r="C30" s="3">
        <v>1</v>
      </c>
      <c r="D30" s="3">
        <v>1</v>
      </c>
      <c r="E30" s="3">
        <v>0</v>
      </c>
      <c r="F30" s="3">
        <v>0</v>
      </c>
      <c r="G30" s="4">
        <v>17</v>
      </c>
      <c r="I30" s="3"/>
      <c r="P30" s="3"/>
      <c r="Q30" s="3"/>
    </row>
    <row r="31" s="1" customFormat="1" spans="1:17">
      <c r="A31" s="2">
        <v>24404010216</v>
      </c>
      <c r="B31" s="3" t="s">
        <v>30</v>
      </c>
      <c r="C31" s="3">
        <v>1</v>
      </c>
      <c r="D31" s="3">
        <v>1</v>
      </c>
      <c r="E31" s="3">
        <v>0</v>
      </c>
      <c r="F31" s="3">
        <v>0</v>
      </c>
      <c r="G31" s="4">
        <v>17</v>
      </c>
      <c r="I31" s="3"/>
      <c r="P31" s="3"/>
      <c r="Q31" s="3"/>
    </row>
    <row r="32" s="1" customFormat="1" spans="1:17">
      <c r="A32" s="2">
        <v>24404010239</v>
      </c>
      <c r="B32" s="3" t="s">
        <v>31</v>
      </c>
      <c r="C32" s="3">
        <v>1</v>
      </c>
      <c r="D32" s="3">
        <v>1</v>
      </c>
      <c r="E32" s="3">
        <v>0</v>
      </c>
      <c r="F32" s="3">
        <v>0</v>
      </c>
      <c r="G32" s="4">
        <v>20</v>
      </c>
      <c r="I32" s="3"/>
      <c r="O32" s="1">
        <v>100</v>
      </c>
      <c r="P32" s="3"/>
      <c r="Q32" s="3"/>
    </row>
    <row r="33" s="1" customFormat="1" ht="15.15" spans="1:17">
      <c r="A33" s="2">
        <v>24408040115</v>
      </c>
      <c r="B33" s="3"/>
      <c r="C33" s="3">
        <v>1</v>
      </c>
      <c r="D33" s="3">
        <v>1</v>
      </c>
      <c r="E33" s="3">
        <v>0</v>
      </c>
      <c r="F33" s="3">
        <v>0</v>
      </c>
      <c r="G33" s="8">
        <v>20</v>
      </c>
      <c r="H33" s="1">
        <v>28</v>
      </c>
      <c r="I33" s="3"/>
      <c r="P33" s="3"/>
      <c r="Q33" s="3"/>
    </row>
    <row r="34" s="1" customFormat="1" spans="1:17">
      <c r="A34" s="13">
        <v>24402010202</v>
      </c>
      <c r="B34" s="3"/>
      <c r="C34" s="3">
        <v>1</v>
      </c>
      <c r="D34" s="3">
        <v>1</v>
      </c>
      <c r="E34" s="3">
        <v>0</v>
      </c>
      <c r="F34" s="3">
        <v>0</v>
      </c>
      <c r="G34" s="4">
        <f>85/2</f>
        <v>42.5</v>
      </c>
      <c r="H34" s="1" t="s">
        <v>20</v>
      </c>
      <c r="I34" s="3"/>
      <c r="L34" s="1">
        <v>1</v>
      </c>
      <c r="M34" s="1" t="s">
        <v>32</v>
      </c>
      <c r="P34" s="3"/>
      <c r="Q34" s="3"/>
    </row>
    <row r="35" s="1" customFormat="1" spans="1:17">
      <c r="A35" s="12">
        <v>24402010201</v>
      </c>
      <c r="B35" s="3"/>
      <c r="C35" s="3">
        <v>1</v>
      </c>
      <c r="D35" s="3">
        <v>1</v>
      </c>
      <c r="E35" s="3">
        <v>0</v>
      </c>
      <c r="F35" s="3">
        <v>0</v>
      </c>
      <c r="G35" s="4"/>
      <c r="I35" s="3"/>
      <c r="L35" s="1">
        <v>1</v>
      </c>
      <c r="M35" s="1" t="s">
        <v>32</v>
      </c>
      <c r="P35" s="3"/>
      <c r="Q35" s="3"/>
    </row>
    <row r="36" s="1" customFormat="1" spans="1:17">
      <c r="A36" s="9" t="s">
        <v>33</v>
      </c>
      <c r="B36" s="3"/>
      <c r="C36" s="3">
        <v>1</v>
      </c>
      <c r="D36" s="3">
        <v>1</v>
      </c>
      <c r="E36" s="3">
        <v>0</v>
      </c>
      <c r="F36" s="3">
        <v>0</v>
      </c>
      <c r="G36" s="4"/>
      <c r="I36" s="3"/>
      <c r="P36" s="3"/>
      <c r="Q36" s="3"/>
    </row>
    <row r="37" s="1" customFormat="1" ht="15.15" spans="1:17">
      <c r="A37" s="10">
        <v>24402010204</v>
      </c>
      <c r="B37" s="3"/>
      <c r="C37" s="3">
        <v>1</v>
      </c>
      <c r="D37" s="3">
        <v>1</v>
      </c>
      <c r="E37" s="3">
        <v>0</v>
      </c>
      <c r="F37" s="3">
        <v>0</v>
      </c>
      <c r="G37" s="4"/>
      <c r="I37" s="3"/>
      <c r="P37" s="3"/>
      <c r="Q37" s="3"/>
    </row>
    <row r="38" s="1" customFormat="1" spans="1:17">
      <c r="A38" s="2">
        <v>24402010214</v>
      </c>
      <c r="B38" s="3"/>
      <c r="C38" s="3">
        <v>1</v>
      </c>
      <c r="D38" s="3">
        <v>1</v>
      </c>
      <c r="E38" s="3">
        <v>0</v>
      </c>
      <c r="F38" s="3">
        <v>0</v>
      </c>
      <c r="G38" s="4">
        <f>150/2</f>
        <v>75</v>
      </c>
      <c r="I38" s="3"/>
      <c r="P38" s="3"/>
      <c r="Q38" s="3"/>
    </row>
    <row r="39" s="1" customFormat="1" spans="1:17">
      <c r="A39" s="2">
        <v>24418010254</v>
      </c>
      <c r="B39" s="3"/>
      <c r="C39" s="3">
        <v>1</v>
      </c>
      <c r="D39" s="3">
        <v>1</v>
      </c>
      <c r="E39" s="3">
        <v>0</v>
      </c>
      <c r="F39" s="3">
        <v>0</v>
      </c>
      <c r="G39" s="4"/>
      <c r="I39" s="3"/>
      <c r="P39" s="3"/>
      <c r="Q39" s="3"/>
    </row>
    <row r="40" s="1" customFormat="1" spans="1:17">
      <c r="A40" s="2">
        <v>24402010231</v>
      </c>
      <c r="B40" s="3"/>
      <c r="C40" s="3">
        <v>1</v>
      </c>
      <c r="D40" s="3">
        <v>1</v>
      </c>
      <c r="E40" s="3">
        <v>0</v>
      </c>
      <c r="F40" s="3">
        <v>0</v>
      </c>
      <c r="G40" s="4"/>
      <c r="I40" s="3"/>
      <c r="P40" s="3"/>
      <c r="Q40" s="3"/>
    </row>
    <row r="41" s="1" customFormat="1" spans="1:17">
      <c r="A41" s="2">
        <v>24402010230</v>
      </c>
      <c r="B41" s="3"/>
      <c r="C41" s="3">
        <v>1</v>
      </c>
      <c r="D41" s="3">
        <v>1</v>
      </c>
      <c r="E41" s="3">
        <v>0</v>
      </c>
      <c r="F41" s="3">
        <v>0</v>
      </c>
      <c r="G41" s="4"/>
      <c r="I41" s="3"/>
      <c r="P41" s="3"/>
      <c r="Q41" s="3"/>
    </row>
    <row r="42" s="1" customFormat="1" spans="1:17">
      <c r="A42" s="2">
        <v>24402010212</v>
      </c>
      <c r="B42" s="3"/>
      <c r="C42" s="3">
        <v>1</v>
      </c>
      <c r="D42" s="3">
        <v>1</v>
      </c>
      <c r="E42" s="3">
        <v>0</v>
      </c>
      <c r="F42" s="3">
        <v>0</v>
      </c>
      <c r="G42" s="4"/>
      <c r="I42" s="3"/>
      <c r="P42" s="3"/>
      <c r="Q42" s="3"/>
    </row>
    <row r="43" s="1" customFormat="1" spans="1:17">
      <c r="A43" s="2">
        <v>24403010229</v>
      </c>
      <c r="B43" s="3" t="s">
        <v>34</v>
      </c>
      <c r="C43" s="3">
        <v>1</v>
      </c>
      <c r="D43" s="3">
        <v>1</v>
      </c>
      <c r="E43" s="3">
        <v>0</v>
      </c>
      <c r="F43" s="3">
        <v>0</v>
      </c>
      <c r="G43" s="4"/>
      <c r="I43" s="3"/>
      <c r="P43" s="3"/>
      <c r="Q43" s="3"/>
    </row>
    <row r="44" s="1" customFormat="1" spans="1:17">
      <c r="A44" s="2">
        <v>24403010315</v>
      </c>
      <c r="B44" s="3" t="s">
        <v>35</v>
      </c>
      <c r="C44" s="3">
        <v>1</v>
      </c>
      <c r="D44" s="3">
        <v>1</v>
      </c>
      <c r="E44" s="3">
        <v>0</v>
      </c>
      <c r="F44" s="3">
        <v>0</v>
      </c>
      <c r="G44" s="4">
        <f>150/2</f>
        <v>75</v>
      </c>
      <c r="I44" s="3"/>
      <c r="P44" s="3"/>
      <c r="Q44" s="3"/>
    </row>
    <row r="45" s="1" customFormat="1" spans="1:17">
      <c r="A45" s="2">
        <v>24402010209</v>
      </c>
      <c r="B45" s="3"/>
      <c r="C45" s="3">
        <v>1</v>
      </c>
      <c r="D45" s="3">
        <v>1</v>
      </c>
      <c r="E45" s="3">
        <v>0</v>
      </c>
      <c r="F45" s="3">
        <v>0</v>
      </c>
      <c r="G45" s="4"/>
      <c r="I45" s="3"/>
      <c r="P45" s="3"/>
      <c r="Q45" s="3"/>
    </row>
    <row r="46" s="1" customFormat="1" spans="1:17">
      <c r="A46" s="2">
        <v>24402010506</v>
      </c>
      <c r="B46" s="3"/>
      <c r="C46" s="3">
        <v>1</v>
      </c>
      <c r="D46" s="3">
        <v>1</v>
      </c>
      <c r="E46" s="3">
        <v>0</v>
      </c>
      <c r="F46" s="3">
        <v>0</v>
      </c>
      <c r="G46" s="4"/>
      <c r="I46" s="3"/>
      <c r="P46" s="3"/>
      <c r="Q46" s="3"/>
    </row>
    <row r="47" s="1" customFormat="1" spans="1:17">
      <c r="A47" s="2">
        <v>24402010215</v>
      </c>
      <c r="B47" s="3"/>
      <c r="C47" s="3">
        <v>1</v>
      </c>
      <c r="D47" s="3">
        <v>1</v>
      </c>
      <c r="E47" s="3">
        <v>0</v>
      </c>
      <c r="F47" s="3">
        <v>0</v>
      </c>
      <c r="G47" s="4"/>
      <c r="I47" s="3"/>
      <c r="P47" s="3"/>
      <c r="Q47" s="3"/>
    </row>
    <row r="48" s="1" customFormat="1" spans="1:17">
      <c r="A48" s="2">
        <v>24418010253</v>
      </c>
      <c r="B48" s="3"/>
      <c r="C48" s="3">
        <v>1</v>
      </c>
      <c r="D48" s="3">
        <v>1</v>
      </c>
      <c r="E48" s="3">
        <v>0</v>
      </c>
      <c r="F48" s="3">
        <v>0</v>
      </c>
      <c r="G48" s="4"/>
      <c r="I48" s="3"/>
      <c r="P48" s="3"/>
      <c r="Q48" s="3"/>
    </row>
    <row r="49" s="1" customFormat="1" spans="1:17">
      <c r="A49" s="2">
        <v>24403010314</v>
      </c>
      <c r="B49" s="3"/>
      <c r="C49" s="3">
        <v>1</v>
      </c>
      <c r="D49" s="3">
        <v>1</v>
      </c>
      <c r="E49" s="3">
        <v>0</v>
      </c>
      <c r="F49" s="3">
        <v>0</v>
      </c>
      <c r="G49" s="4"/>
      <c r="I49" s="3"/>
      <c r="P49" s="3"/>
      <c r="Q49" s="3"/>
    </row>
    <row r="50" s="1" customFormat="1" ht="15.15" spans="1:17">
      <c r="A50" s="2">
        <v>24413040106</v>
      </c>
      <c r="B50" s="3"/>
      <c r="C50" s="3">
        <v>1</v>
      </c>
      <c r="D50" s="3">
        <v>1</v>
      </c>
      <c r="E50" s="3">
        <v>0</v>
      </c>
      <c r="F50" s="3">
        <v>0</v>
      </c>
      <c r="G50" s="4">
        <f>20/2</f>
        <v>10</v>
      </c>
      <c r="H50" s="1" t="s">
        <v>36</v>
      </c>
      <c r="I50" s="3"/>
      <c r="P50" s="3"/>
      <c r="Q50" s="3"/>
    </row>
    <row r="51" s="1" customFormat="1" spans="1:17">
      <c r="A51" s="7">
        <v>24401030235</v>
      </c>
      <c r="B51" s="3"/>
      <c r="C51" s="3">
        <v>1</v>
      </c>
      <c r="D51" s="3">
        <v>1</v>
      </c>
      <c r="E51" s="3">
        <v>0</v>
      </c>
      <c r="F51" s="3">
        <v>0</v>
      </c>
      <c r="G51" s="4">
        <f>90/2</f>
        <v>45</v>
      </c>
      <c r="I51" s="3"/>
      <c r="P51" s="3"/>
      <c r="Q51" s="3"/>
    </row>
    <row r="52" s="1" customFormat="1" spans="1:17">
      <c r="A52" s="9">
        <v>24401030236</v>
      </c>
      <c r="B52" s="3"/>
      <c r="C52" s="3">
        <v>1</v>
      </c>
      <c r="D52" s="3">
        <v>1</v>
      </c>
      <c r="E52" s="3">
        <v>0</v>
      </c>
      <c r="F52" s="3">
        <v>0</v>
      </c>
      <c r="G52" s="4"/>
      <c r="I52" s="3"/>
      <c r="P52" s="3"/>
      <c r="Q52" s="3"/>
    </row>
    <row r="53" s="1" customFormat="1" spans="1:17">
      <c r="A53" s="9">
        <v>24401030237</v>
      </c>
      <c r="B53" s="3"/>
      <c r="C53" s="3">
        <v>1</v>
      </c>
      <c r="D53" s="3">
        <v>1</v>
      </c>
      <c r="E53" s="3">
        <v>0</v>
      </c>
      <c r="F53" s="3">
        <v>0</v>
      </c>
      <c r="G53" s="4"/>
      <c r="I53" s="3"/>
      <c r="P53" s="3"/>
      <c r="Q53" s="3"/>
    </row>
    <row r="54" s="1" customFormat="1" spans="1:17">
      <c r="A54" s="9">
        <v>24401030238</v>
      </c>
      <c r="B54" s="3"/>
      <c r="C54" s="3">
        <v>1</v>
      </c>
      <c r="D54" s="3">
        <v>1</v>
      </c>
      <c r="E54" s="3">
        <v>0</v>
      </c>
      <c r="F54" s="3">
        <v>0</v>
      </c>
      <c r="G54" s="4"/>
      <c r="I54" s="3"/>
      <c r="P54" s="3"/>
      <c r="Q54" s="3"/>
    </row>
    <row r="55" s="1" customFormat="1" ht="15.15" spans="1:17">
      <c r="A55" s="10">
        <v>24401030244</v>
      </c>
      <c r="B55" s="3"/>
      <c r="C55" s="3">
        <v>1</v>
      </c>
      <c r="D55" s="3">
        <v>1</v>
      </c>
      <c r="E55" s="3">
        <v>0</v>
      </c>
      <c r="F55" s="3">
        <v>0</v>
      </c>
      <c r="G55" s="4"/>
      <c r="I55" s="3"/>
      <c r="P55" s="3"/>
      <c r="Q55" s="3"/>
    </row>
    <row r="56" s="1" customFormat="1" spans="1:17">
      <c r="A56" s="2">
        <v>24407050204</v>
      </c>
      <c r="B56" s="3"/>
      <c r="C56" s="3">
        <v>1</v>
      </c>
      <c r="D56" s="3">
        <v>1</v>
      </c>
      <c r="E56" s="3">
        <v>0</v>
      </c>
      <c r="F56" s="3">
        <v>0</v>
      </c>
      <c r="G56" s="4">
        <f>20/2</f>
        <v>10</v>
      </c>
      <c r="I56" s="3"/>
      <c r="P56" s="3"/>
      <c r="Q56" s="3"/>
    </row>
    <row r="57" s="1" customFormat="1" spans="1:17">
      <c r="A57" s="2">
        <v>24407050214</v>
      </c>
      <c r="B57" s="3"/>
      <c r="C57" s="3">
        <v>1</v>
      </c>
      <c r="D57" s="3">
        <v>0</v>
      </c>
      <c r="E57" s="3">
        <v>0</v>
      </c>
      <c r="F57" s="3">
        <v>0</v>
      </c>
      <c r="G57" s="4">
        <f>15/2</f>
        <v>7.5</v>
      </c>
      <c r="I57" s="3"/>
      <c r="P57" s="3"/>
      <c r="Q57" s="3"/>
    </row>
    <row r="58" s="1" customFormat="1" ht="15.15" spans="1:17">
      <c r="A58" s="2">
        <v>24407050213</v>
      </c>
      <c r="B58" s="3"/>
      <c r="C58" s="3">
        <v>1</v>
      </c>
      <c r="D58" s="3">
        <v>0</v>
      </c>
      <c r="E58" s="3">
        <v>0</v>
      </c>
      <c r="F58" s="3">
        <v>0</v>
      </c>
      <c r="G58" s="4">
        <v>7.5</v>
      </c>
      <c r="I58" s="3"/>
      <c r="P58" s="3"/>
      <c r="Q58" s="3"/>
    </row>
    <row r="59" s="1" customFormat="1" spans="1:17">
      <c r="A59" s="7">
        <v>24413050206</v>
      </c>
      <c r="B59" s="3"/>
      <c r="C59" s="3">
        <v>1</v>
      </c>
      <c r="D59" s="3">
        <v>1</v>
      </c>
      <c r="E59" s="3">
        <v>0</v>
      </c>
      <c r="F59" s="3">
        <v>0</v>
      </c>
      <c r="G59" s="4">
        <v>60</v>
      </c>
      <c r="H59" s="1" t="s">
        <v>37</v>
      </c>
      <c r="I59" s="3">
        <v>10.27</v>
      </c>
      <c r="P59" s="3"/>
      <c r="Q59" s="3"/>
    </row>
    <row r="60" s="1" customFormat="1" spans="1:17">
      <c r="A60" s="9">
        <v>24413050207</v>
      </c>
      <c r="B60" s="3"/>
      <c r="C60" s="3">
        <v>1</v>
      </c>
      <c r="D60" s="3">
        <v>1</v>
      </c>
      <c r="E60" s="3">
        <v>0</v>
      </c>
      <c r="F60" s="3">
        <v>0</v>
      </c>
      <c r="G60" s="4"/>
      <c r="I60" s="3"/>
      <c r="P60" s="3"/>
      <c r="Q60" s="3"/>
    </row>
    <row r="61" s="1" customFormat="1" spans="1:17">
      <c r="A61" s="9">
        <v>24413050208</v>
      </c>
      <c r="B61" s="3"/>
      <c r="C61" s="3">
        <v>1</v>
      </c>
      <c r="D61" s="3">
        <v>1</v>
      </c>
      <c r="E61" s="3">
        <v>0</v>
      </c>
      <c r="F61" s="3">
        <v>0</v>
      </c>
      <c r="G61" s="4"/>
      <c r="I61" s="3"/>
      <c r="P61" s="3"/>
      <c r="Q61" s="3"/>
    </row>
    <row r="62" s="1" customFormat="1" ht="15.15" spans="1:17">
      <c r="A62" s="10">
        <v>24413050209</v>
      </c>
      <c r="B62" s="3"/>
      <c r="C62" s="3">
        <v>1</v>
      </c>
      <c r="D62" s="3">
        <v>1</v>
      </c>
      <c r="E62" s="3">
        <v>0</v>
      </c>
      <c r="F62" s="3">
        <v>0</v>
      </c>
      <c r="G62" s="4"/>
      <c r="I62" s="3"/>
      <c r="P62" s="3"/>
      <c r="Q62" s="3"/>
    </row>
    <row r="63" s="1" customFormat="1" ht="15.15" spans="1:17">
      <c r="A63" s="10">
        <v>24413050115</v>
      </c>
      <c r="B63" s="3"/>
      <c r="C63" s="3">
        <v>1</v>
      </c>
      <c r="D63" s="3">
        <v>1</v>
      </c>
      <c r="E63" s="3">
        <v>0</v>
      </c>
      <c r="F63" s="3">
        <v>0</v>
      </c>
      <c r="G63" s="4"/>
      <c r="I63" s="3"/>
      <c r="P63" s="3"/>
      <c r="Q63" s="3"/>
    </row>
    <row r="64" s="1" customFormat="1" ht="15.15" spans="1:17">
      <c r="A64" s="2">
        <v>24402010216</v>
      </c>
      <c r="B64" s="3"/>
      <c r="C64" s="3">
        <v>1</v>
      </c>
      <c r="D64" s="3">
        <v>1</v>
      </c>
      <c r="E64" s="3">
        <v>0</v>
      </c>
      <c r="F64" s="3">
        <v>0</v>
      </c>
      <c r="G64" s="4">
        <f>25/2</f>
        <v>12.5</v>
      </c>
      <c r="H64" s="1" t="s">
        <v>20</v>
      </c>
      <c r="I64" s="3"/>
      <c r="P64" s="3"/>
      <c r="Q64" s="3"/>
    </row>
    <row r="65" s="1" customFormat="1" spans="1:17">
      <c r="A65" s="7">
        <v>24402010232</v>
      </c>
      <c r="B65" s="3"/>
      <c r="C65" s="3">
        <v>1</v>
      </c>
      <c r="D65" s="3">
        <v>1</v>
      </c>
      <c r="E65" s="3">
        <v>0</v>
      </c>
      <c r="F65" s="3">
        <v>0</v>
      </c>
      <c r="G65" s="4">
        <f>85/2</f>
        <v>42.5</v>
      </c>
      <c r="I65" s="3"/>
      <c r="O65" s="1" t="s">
        <v>38</v>
      </c>
      <c r="P65" s="3"/>
      <c r="Q65" s="3"/>
    </row>
    <row r="66" s="1" customFormat="1" spans="1:17">
      <c r="A66" s="9">
        <v>24402010233</v>
      </c>
      <c r="B66" s="3"/>
      <c r="C66" s="3">
        <v>1</v>
      </c>
      <c r="D66" s="3">
        <v>1</v>
      </c>
      <c r="E66" s="3">
        <v>0</v>
      </c>
      <c r="F66" s="3">
        <v>0</v>
      </c>
      <c r="G66" s="4"/>
      <c r="I66" s="3"/>
      <c r="P66" s="3"/>
      <c r="Q66" s="3"/>
    </row>
    <row r="67" s="1" customFormat="1" spans="1:17">
      <c r="A67" s="9">
        <v>24402010229</v>
      </c>
      <c r="B67" s="3"/>
      <c r="C67" s="3">
        <v>1</v>
      </c>
      <c r="D67" s="3">
        <v>1</v>
      </c>
      <c r="E67" s="3">
        <v>0</v>
      </c>
      <c r="F67" s="3">
        <v>0</v>
      </c>
      <c r="G67" s="4"/>
      <c r="I67" s="3"/>
      <c r="P67" s="3"/>
      <c r="Q67" s="3"/>
    </row>
    <row r="68" s="1" customFormat="1" ht="15.15" spans="1:17">
      <c r="A68" s="10">
        <v>24402010213</v>
      </c>
      <c r="B68" s="3"/>
      <c r="C68" s="3">
        <v>1</v>
      </c>
      <c r="D68" s="3">
        <v>1</v>
      </c>
      <c r="E68" s="3">
        <v>0</v>
      </c>
      <c r="F68" s="3">
        <v>0</v>
      </c>
      <c r="G68" s="4"/>
      <c r="I68" s="3"/>
      <c r="P68" s="3"/>
      <c r="Q68" s="3"/>
    </row>
    <row r="69" s="1" customFormat="1" ht="15.15" spans="1:17">
      <c r="A69" s="14">
        <v>24413040105</v>
      </c>
      <c r="B69" s="11"/>
      <c r="C69" s="3">
        <v>1</v>
      </c>
      <c r="D69" s="3">
        <v>1</v>
      </c>
      <c r="E69" s="3">
        <v>0</v>
      </c>
      <c r="F69" s="3">
        <v>0</v>
      </c>
      <c r="G69" s="4">
        <f>10/2</f>
        <v>5</v>
      </c>
      <c r="H69" s="1" t="s">
        <v>36</v>
      </c>
      <c r="I69" s="3"/>
      <c r="P69" s="3"/>
      <c r="Q69" s="3"/>
    </row>
    <row r="70" s="1" customFormat="1" spans="1:17">
      <c r="A70" s="7">
        <v>24407010225</v>
      </c>
      <c r="B70" s="11"/>
      <c r="C70" s="3">
        <v>1</v>
      </c>
      <c r="D70" s="3">
        <v>0</v>
      </c>
      <c r="E70" s="3">
        <v>0</v>
      </c>
      <c r="F70" s="3">
        <v>0</v>
      </c>
      <c r="G70" s="4">
        <f>25/2</f>
        <v>12.5</v>
      </c>
      <c r="I70" s="3"/>
      <c r="P70" s="3"/>
      <c r="Q70" s="3"/>
    </row>
    <row r="71" s="1" customFormat="1" spans="1:17">
      <c r="A71" s="9">
        <v>24407010215</v>
      </c>
      <c r="B71" s="11"/>
      <c r="C71" s="3">
        <v>1</v>
      </c>
      <c r="D71" s="3">
        <v>0</v>
      </c>
      <c r="E71" s="3">
        <v>0</v>
      </c>
      <c r="F71" s="3">
        <v>0</v>
      </c>
      <c r="G71" s="4"/>
      <c r="I71" s="3"/>
      <c r="P71" s="3"/>
      <c r="Q71" s="3"/>
    </row>
    <row r="72" s="1" customFormat="1" ht="15.15" spans="1:17">
      <c r="A72" s="10">
        <v>24407010216</v>
      </c>
      <c r="B72" s="11"/>
      <c r="C72" s="3">
        <v>1</v>
      </c>
      <c r="D72" s="3">
        <v>0</v>
      </c>
      <c r="E72" s="3">
        <v>0</v>
      </c>
      <c r="F72" s="3">
        <v>0</v>
      </c>
      <c r="G72" s="4"/>
      <c r="I72" s="3"/>
      <c r="P72" s="3"/>
      <c r="Q72" s="3"/>
    </row>
    <row r="73" s="1" customFormat="1" spans="1:17">
      <c r="A73" s="7">
        <v>24413040112</v>
      </c>
      <c r="B73" s="3"/>
      <c r="C73" s="3">
        <v>1</v>
      </c>
      <c r="D73" s="3">
        <v>1</v>
      </c>
      <c r="E73" s="3">
        <v>1</v>
      </c>
      <c r="F73" s="3">
        <v>1</v>
      </c>
      <c r="G73" s="4">
        <f>23/2</f>
        <v>11.5</v>
      </c>
      <c r="I73" s="3"/>
      <c r="P73" s="3"/>
      <c r="Q73" s="3"/>
    </row>
    <row r="74" s="1" customFormat="1" spans="1:17">
      <c r="A74" s="9">
        <v>24407010221</v>
      </c>
      <c r="B74" s="3"/>
      <c r="C74" s="3">
        <v>1</v>
      </c>
      <c r="D74" s="3">
        <v>1</v>
      </c>
      <c r="E74" s="3">
        <v>0</v>
      </c>
      <c r="F74" s="3">
        <v>0</v>
      </c>
      <c r="G74" s="4">
        <f>20/2</f>
        <v>10</v>
      </c>
      <c r="I74" s="3"/>
      <c r="P74" s="3"/>
      <c r="Q74" s="3"/>
    </row>
    <row r="75" s="1" customFormat="1" ht="15.15" spans="1:17">
      <c r="A75" s="10">
        <v>24407010223</v>
      </c>
      <c r="B75" s="3"/>
      <c r="C75" s="3">
        <v>1</v>
      </c>
      <c r="D75" s="3">
        <v>1</v>
      </c>
      <c r="E75" s="3">
        <v>1</v>
      </c>
      <c r="F75" s="3">
        <v>1</v>
      </c>
      <c r="G75" s="4">
        <f>23/2</f>
        <v>11.5</v>
      </c>
      <c r="I75" s="3"/>
      <c r="P75" s="3"/>
      <c r="Q75" s="3"/>
    </row>
    <row r="76" s="1" customFormat="1" spans="1:17">
      <c r="A76" s="2">
        <v>24402030105</v>
      </c>
      <c r="B76" s="3" t="s">
        <v>39</v>
      </c>
      <c r="C76" s="3">
        <v>1</v>
      </c>
      <c r="D76" s="3">
        <v>1</v>
      </c>
      <c r="E76" s="3">
        <v>0</v>
      </c>
      <c r="F76" s="3">
        <v>0</v>
      </c>
      <c r="G76" s="4">
        <v>20</v>
      </c>
      <c r="H76" s="1">
        <v>328</v>
      </c>
      <c r="I76" s="3"/>
      <c r="O76" s="1" t="s">
        <v>40</v>
      </c>
      <c r="P76" s="3"/>
      <c r="Q76" s="3"/>
    </row>
    <row r="77" s="1" customFormat="1" ht="15.15" spans="1:17">
      <c r="A77" s="2">
        <v>24408040204</v>
      </c>
      <c r="B77" s="3"/>
      <c r="C77" s="3">
        <v>1</v>
      </c>
      <c r="D77" s="3">
        <v>0</v>
      </c>
      <c r="E77" s="3">
        <v>0</v>
      </c>
      <c r="F77" s="3">
        <v>0</v>
      </c>
      <c r="G77" s="8">
        <v>15</v>
      </c>
      <c r="H77" s="1">
        <v>315</v>
      </c>
      <c r="I77" s="3"/>
      <c r="P77" s="3"/>
      <c r="Q77" s="3"/>
    </row>
    <row r="78" s="1" customFormat="1" spans="1:17">
      <c r="A78" s="7">
        <v>22603098212</v>
      </c>
      <c r="B78" s="3"/>
      <c r="C78" s="3">
        <v>1</v>
      </c>
      <c r="D78" s="3">
        <v>1</v>
      </c>
      <c r="E78" s="3">
        <v>0</v>
      </c>
      <c r="F78" s="3">
        <v>0</v>
      </c>
      <c r="G78" s="4">
        <v>75</v>
      </c>
      <c r="I78" s="3"/>
      <c r="P78" s="3"/>
      <c r="Q78" s="3"/>
    </row>
    <row r="79" s="1" customFormat="1" spans="1:17">
      <c r="A79" s="9">
        <v>22603098213</v>
      </c>
      <c r="B79" s="3"/>
      <c r="C79" s="3">
        <v>1</v>
      </c>
      <c r="D79" s="3">
        <v>1</v>
      </c>
      <c r="E79" s="3">
        <v>0</v>
      </c>
      <c r="F79" s="3">
        <v>0</v>
      </c>
      <c r="G79" s="4"/>
      <c r="I79" s="3"/>
      <c r="P79" s="3"/>
      <c r="Q79" s="3"/>
    </row>
    <row r="80" s="1" customFormat="1" spans="1:17">
      <c r="A80" s="9">
        <v>22603098214</v>
      </c>
      <c r="B80" s="3"/>
      <c r="C80" s="3">
        <v>1</v>
      </c>
      <c r="D80" s="3">
        <v>1</v>
      </c>
      <c r="E80" s="3">
        <v>0</v>
      </c>
      <c r="F80" s="3">
        <v>0</v>
      </c>
      <c r="G80" s="4"/>
      <c r="I80" s="3"/>
      <c r="P80" s="3"/>
      <c r="Q80" s="3"/>
    </row>
    <row r="81" s="1" customFormat="1" ht="15.15" spans="1:17">
      <c r="A81" s="10">
        <v>22603098215</v>
      </c>
      <c r="B81" s="3"/>
      <c r="C81" s="3">
        <v>1</v>
      </c>
      <c r="D81" s="3">
        <v>1</v>
      </c>
      <c r="E81" s="3">
        <v>0</v>
      </c>
      <c r="F81" s="3">
        <v>0</v>
      </c>
      <c r="G81" s="4"/>
      <c r="I81" s="3"/>
      <c r="P81" s="3"/>
      <c r="Q81" s="3"/>
    </row>
    <row r="82" s="1" customFormat="1" ht="15.15" spans="1:17">
      <c r="A82" s="10">
        <v>22603098248</v>
      </c>
      <c r="B82" s="3"/>
      <c r="C82" s="3">
        <v>1</v>
      </c>
      <c r="D82" s="3">
        <v>1</v>
      </c>
      <c r="E82" s="3">
        <v>0</v>
      </c>
      <c r="F82" s="3">
        <v>0</v>
      </c>
      <c r="G82" s="4"/>
      <c r="I82" s="3"/>
      <c r="P82" s="3"/>
      <c r="Q82" s="3"/>
    </row>
    <row r="83" s="1" customFormat="1" spans="1:17">
      <c r="A83" s="2">
        <v>24407010222</v>
      </c>
      <c r="B83" s="3"/>
      <c r="C83" s="3">
        <v>1</v>
      </c>
      <c r="D83" s="3">
        <v>1</v>
      </c>
      <c r="E83" s="3">
        <v>1</v>
      </c>
      <c r="F83" s="3">
        <v>1</v>
      </c>
      <c r="G83" s="4">
        <f t="shared" ref="G83:G86" si="0">23/2</f>
        <v>11.5</v>
      </c>
      <c r="H83" s="1" t="s">
        <v>36</v>
      </c>
      <c r="I83" s="3"/>
      <c r="P83" s="3"/>
      <c r="Q83" s="3"/>
    </row>
    <row r="84" s="1" customFormat="1" spans="1:17">
      <c r="A84" s="2">
        <v>24413040109</v>
      </c>
      <c r="B84" s="3"/>
      <c r="C84" s="3">
        <v>1</v>
      </c>
      <c r="D84" s="3">
        <v>1</v>
      </c>
      <c r="E84" s="3">
        <v>1</v>
      </c>
      <c r="F84" s="3">
        <v>1</v>
      </c>
      <c r="G84" s="4">
        <f t="shared" si="0"/>
        <v>11.5</v>
      </c>
      <c r="I84" s="3"/>
      <c r="P84" s="3"/>
      <c r="Q84" s="3"/>
    </row>
    <row r="85" s="1" customFormat="1" spans="1:17">
      <c r="A85" s="2">
        <v>24413040111</v>
      </c>
      <c r="B85" s="3"/>
      <c r="C85" s="3">
        <v>1</v>
      </c>
      <c r="D85" s="3">
        <v>1</v>
      </c>
      <c r="E85" s="3">
        <v>0</v>
      </c>
      <c r="F85" s="3">
        <v>1</v>
      </c>
      <c r="G85" s="4">
        <f t="shared" si="0"/>
        <v>11.5</v>
      </c>
      <c r="I85" s="3"/>
      <c r="P85" s="3"/>
      <c r="Q85" s="3"/>
    </row>
    <row r="86" s="1" customFormat="1" spans="1:17">
      <c r="A86" s="2">
        <v>24413040110</v>
      </c>
      <c r="B86" s="3"/>
      <c r="C86" s="3">
        <v>1</v>
      </c>
      <c r="D86" s="3">
        <v>1</v>
      </c>
      <c r="E86" s="3">
        <v>1</v>
      </c>
      <c r="F86" s="3">
        <v>1</v>
      </c>
      <c r="G86" s="4">
        <f t="shared" si="0"/>
        <v>11.5</v>
      </c>
      <c r="I86" s="3"/>
      <c r="P86" s="3"/>
      <c r="Q86" s="3"/>
    </row>
    <row r="87" s="1" customFormat="1" spans="1:17">
      <c r="A87" s="2">
        <v>24402010511</v>
      </c>
      <c r="B87" s="3"/>
      <c r="C87" s="3">
        <v>1</v>
      </c>
      <c r="D87" s="3">
        <v>1</v>
      </c>
      <c r="E87" s="3">
        <v>0</v>
      </c>
      <c r="F87" s="3">
        <v>0</v>
      </c>
      <c r="G87" s="4">
        <f>20/2</f>
        <v>10</v>
      </c>
      <c r="I87" s="3"/>
      <c r="P87" s="3"/>
      <c r="Q87" s="3"/>
    </row>
    <row r="88" s="1" customFormat="1" spans="1:17">
      <c r="A88" s="2">
        <v>24402010512</v>
      </c>
      <c r="B88" s="3"/>
      <c r="C88" s="3">
        <v>1</v>
      </c>
      <c r="D88" s="3">
        <v>1</v>
      </c>
      <c r="E88" s="3">
        <v>0</v>
      </c>
      <c r="F88" s="3">
        <v>0</v>
      </c>
      <c r="G88" s="4">
        <f>20/2</f>
        <v>10</v>
      </c>
      <c r="I88" s="3"/>
      <c r="P88" s="3"/>
      <c r="Q88" s="3"/>
    </row>
    <row r="89" s="1" customFormat="1" spans="1:17">
      <c r="A89" s="2">
        <v>24402010613</v>
      </c>
      <c r="B89" s="3"/>
      <c r="C89" s="3">
        <v>1</v>
      </c>
      <c r="D89" s="3">
        <v>0</v>
      </c>
      <c r="E89" s="3">
        <v>0</v>
      </c>
      <c r="F89" s="3">
        <v>0</v>
      </c>
      <c r="G89" s="4">
        <f t="shared" ref="G89:G91" si="1">15/2</f>
        <v>7.5</v>
      </c>
      <c r="I89" s="3"/>
      <c r="P89" s="3"/>
      <c r="Q89" s="3"/>
    </row>
    <row r="90" s="1" customFormat="1" spans="1:17">
      <c r="A90" s="2">
        <v>24402010615</v>
      </c>
      <c r="B90" s="3"/>
      <c r="C90" s="3">
        <v>1</v>
      </c>
      <c r="D90" s="3">
        <v>0</v>
      </c>
      <c r="E90" s="3">
        <v>0</v>
      </c>
      <c r="F90" s="3">
        <v>0</v>
      </c>
      <c r="G90" s="4">
        <f t="shared" si="1"/>
        <v>7.5</v>
      </c>
      <c r="I90" s="3"/>
      <c r="P90" s="3"/>
      <c r="Q90" s="3"/>
    </row>
    <row r="91" s="1" customFormat="1" spans="1:17">
      <c r="A91" s="2">
        <v>24402010618</v>
      </c>
      <c r="B91" s="3"/>
      <c r="C91" s="3">
        <v>1</v>
      </c>
      <c r="D91" s="3">
        <v>0</v>
      </c>
      <c r="E91" s="3">
        <v>0</v>
      </c>
      <c r="F91" s="3">
        <v>0</v>
      </c>
      <c r="G91" s="4">
        <f t="shared" si="1"/>
        <v>7.5</v>
      </c>
      <c r="I91" s="3"/>
      <c r="P91" s="3"/>
      <c r="Q91" s="3"/>
    </row>
    <row r="92" s="1" customFormat="1" spans="1:17">
      <c r="A92" s="2">
        <v>24405010104</v>
      </c>
      <c r="B92" s="3"/>
      <c r="C92" s="3">
        <v>1</v>
      </c>
      <c r="D92" s="3">
        <v>1</v>
      </c>
      <c r="E92" s="3">
        <v>0</v>
      </c>
      <c r="F92" s="3">
        <v>0</v>
      </c>
      <c r="G92" s="8">
        <v>10</v>
      </c>
      <c r="H92" s="1">
        <v>315</v>
      </c>
      <c r="I92" s="3">
        <v>10.28</v>
      </c>
      <c r="J92" s="1">
        <v>20</v>
      </c>
      <c r="P92" s="3"/>
      <c r="Q92" s="3"/>
    </row>
    <row r="93" s="1" customFormat="1" spans="1:17">
      <c r="A93" s="2">
        <v>24407010213</v>
      </c>
      <c r="B93" s="3"/>
      <c r="C93" s="3">
        <v>1</v>
      </c>
      <c r="D93" s="3">
        <v>0</v>
      </c>
      <c r="E93" s="3">
        <v>0</v>
      </c>
      <c r="F93" s="3">
        <v>0</v>
      </c>
      <c r="G93" s="4">
        <f>15/2</f>
        <v>7.5</v>
      </c>
      <c r="H93" s="1" t="s">
        <v>36</v>
      </c>
      <c r="I93" s="3">
        <v>10.29</v>
      </c>
      <c r="P93" s="3"/>
      <c r="Q93" s="3"/>
    </row>
    <row r="94" s="1" customFormat="1" spans="1:17">
      <c r="A94" s="2">
        <v>24407010214</v>
      </c>
      <c r="B94" s="3"/>
      <c r="C94" s="3">
        <v>1</v>
      </c>
      <c r="D94" s="3">
        <v>0</v>
      </c>
      <c r="E94" s="3">
        <v>0</v>
      </c>
      <c r="F94" s="3">
        <v>0</v>
      </c>
      <c r="G94" s="4">
        <f>15/2</f>
        <v>7.5</v>
      </c>
      <c r="I94" s="3"/>
      <c r="P94" s="3"/>
      <c r="Q94" s="3"/>
    </row>
    <row r="95" s="1" customFormat="1" spans="1:17">
      <c r="A95" s="2">
        <v>24401030240</v>
      </c>
      <c r="B95" s="3"/>
      <c r="C95" s="3">
        <v>1</v>
      </c>
      <c r="D95" s="3">
        <v>1</v>
      </c>
      <c r="E95" s="3">
        <v>0</v>
      </c>
      <c r="F95" s="3">
        <v>0</v>
      </c>
      <c r="G95" s="4">
        <f t="shared" ref="G95:G99" si="2">20/2</f>
        <v>10</v>
      </c>
      <c r="I95" s="3"/>
      <c r="P95" s="3"/>
      <c r="Q95" s="3"/>
    </row>
    <row r="96" s="1" customFormat="1" spans="1:17">
      <c r="A96" s="2">
        <v>24401030232</v>
      </c>
      <c r="B96" s="3"/>
      <c r="C96" s="3">
        <v>1</v>
      </c>
      <c r="D96" s="3">
        <v>1</v>
      </c>
      <c r="E96" s="3">
        <v>0</v>
      </c>
      <c r="F96" s="3">
        <v>0</v>
      </c>
      <c r="G96" s="4">
        <f t="shared" si="2"/>
        <v>10</v>
      </c>
      <c r="I96" s="3"/>
      <c r="P96" s="3"/>
      <c r="Q96" s="3"/>
    </row>
    <row r="97" s="1" customFormat="1" spans="1:17">
      <c r="A97" s="2">
        <v>24401030239</v>
      </c>
      <c r="B97" s="3"/>
      <c r="C97" s="3">
        <v>1</v>
      </c>
      <c r="D97" s="3">
        <v>1</v>
      </c>
      <c r="E97" s="3">
        <v>0</v>
      </c>
      <c r="F97" s="3">
        <v>0</v>
      </c>
      <c r="G97" s="4">
        <f t="shared" si="2"/>
        <v>10</v>
      </c>
      <c r="I97" s="3"/>
      <c r="P97" s="3"/>
      <c r="Q97" s="3"/>
    </row>
    <row r="98" s="1" customFormat="1" spans="1:17">
      <c r="A98" s="2">
        <v>24402010513</v>
      </c>
      <c r="B98" s="3"/>
      <c r="C98" s="3">
        <v>1</v>
      </c>
      <c r="D98" s="3">
        <v>1</v>
      </c>
      <c r="E98" s="3">
        <v>0</v>
      </c>
      <c r="F98" s="3">
        <v>0</v>
      </c>
      <c r="G98" s="4">
        <f t="shared" si="2"/>
        <v>10</v>
      </c>
      <c r="I98" s="3"/>
      <c r="P98" s="3"/>
      <c r="Q98" s="3"/>
    </row>
    <row r="99" s="1" customFormat="1" spans="1:17">
      <c r="A99" s="2">
        <v>24402010515</v>
      </c>
      <c r="B99" s="3"/>
      <c r="C99" s="3">
        <v>1</v>
      </c>
      <c r="D99" s="3">
        <v>1</v>
      </c>
      <c r="E99" s="3">
        <v>0</v>
      </c>
      <c r="F99" s="3">
        <v>0</v>
      </c>
      <c r="G99" s="4">
        <f t="shared" si="2"/>
        <v>10</v>
      </c>
      <c r="I99" s="3"/>
      <c r="P99" s="3"/>
      <c r="Q99" s="3"/>
    </row>
    <row r="100" s="1" customFormat="1" spans="1:17">
      <c r="A100" s="2">
        <v>24413040102</v>
      </c>
      <c r="B100" s="3"/>
      <c r="C100" s="3">
        <v>1</v>
      </c>
      <c r="D100" s="3">
        <v>1</v>
      </c>
      <c r="E100" s="3">
        <v>1</v>
      </c>
      <c r="F100" s="3">
        <v>1</v>
      </c>
      <c r="G100" s="4">
        <f t="shared" ref="G100:G104" si="3">23/2</f>
        <v>11.5</v>
      </c>
      <c r="I100" s="3"/>
      <c r="P100" s="3"/>
      <c r="Q100" s="3"/>
    </row>
    <row r="101" s="1" customFormat="1" spans="1:17">
      <c r="A101" s="2">
        <v>24413040103</v>
      </c>
      <c r="B101" s="3"/>
      <c r="C101" s="3">
        <v>1</v>
      </c>
      <c r="D101" s="3">
        <v>1</v>
      </c>
      <c r="E101" s="3">
        <v>1</v>
      </c>
      <c r="F101" s="3">
        <v>1</v>
      </c>
      <c r="G101" s="4">
        <f t="shared" si="3"/>
        <v>11.5</v>
      </c>
      <c r="I101" s="3"/>
      <c r="P101" s="3"/>
      <c r="Q101" s="3"/>
    </row>
    <row r="102" s="1" customFormat="1" spans="1:17">
      <c r="A102" s="2">
        <v>24413040104</v>
      </c>
      <c r="B102" s="3"/>
      <c r="C102" s="3">
        <v>1</v>
      </c>
      <c r="D102" s="3">
        <v>1</v>
      </c>
      <c r="E102" s="3">
        <v>1</v>
      </c>
      <c r="F102" s="3">
        <v>1</v>
      </c>
      <c r="G102" s="4">
        <f t="shared" si="3"/>
        <v>11.5</v>
      </c>
      <c r="I102" s="3"/>
      <c r="P102" s="3"/>
      <c r="Q102" s="3"/>
    </row>
    <row r="103" s="1" customFormat="1" spans="1:17">
      <c r="A103" s="2">
        <v>24413040108</v>
      </c>
      <c r="B103" s="3"/>
      <c r="C103" s="3">
        <v>1</v>
      </c>
      <c r="D103" s="3">
        <v>1</v>
      </c>
      <c r="E103" s="3">
        <v>1</v>
      </c>
      <c r="F103" s="3">
        <v>1</v>
      </c>
      <c r="G103" s="4">
        <f t="shared" si="3"/>
        <v>11.5</v>
      </c>
      <c r="I103" s="3"/>
      <c r="P103" s="3"/>
      <c r="Q103" s="3"/>
    </row>
    <row r="104" s="1" customFormat="1" spans="1:17">
      <c r="A104" s="2">
        <v>24413040122</v>
      </c>
      <c r="B104" s="3"/>
      <c r="C104" s="3">
        <v>1</v>
      </c>
      <c r="D104" s="3">
        <v>1</v>
      </c>
      <c r="E104" s="3">
        <v>1</v>
      </c>
      <c r="F104" s="3">
        <v>1</v>
      </c>
      <c r="G104" s="4">
        <f t="shared" si="3"/>
        <v>11.5</v>
      </c>
      <c r="I104" s="3"/>
      <c r="P104" s="3"/>
      <c r="Q104" s="3"/>
    </row>
    <row r="105" s="1" customFormat="1" spans="1:17">
      <c r="A105" s="2">
        <v>24407010312</v>
      </c>
      <c r="B105" s="3"/>
      <c r="C105" s="3">
        <v>1</v>
      </c>
      <c r="D105" s="3">
        <v>1</v>
      </c>
      <c r="E105" s="3">
        <v>0</v>
      </c>
      <c r="F105" s="3">
        <v>0</v>
      </c>
      <c r="G105" s="4">
        <v>25</v>
      </c>
      <c r="H105" s="1">
        <v>315</v>
      </c>
      <c r="I105" s="3"/>
      <c r="P105" s="3"/>
      <c r="Q105" s="3"/>
    </row>
    <row r="106" s="1" customFormat="1" spans="1:17">
      <c r="A106" s="2">
        <v>24407010311</v>
      </c>
      <c r="B106" s="3"/>
      <c r="C106" s="3">
        <v>1</v>
      </c>
      <c r="D106" s="3">
        <v>0</v>
      </c>
      <c r="E106" s="3">
        <v>0</v>
      </c>
      <c r="F106" s="3">
        <v>0</v>
      </c>
      <c r="G106" s="4">
        <v>20</v>
      </c>
      <c r="I106" s="3"/>
      <c r="P106" s="3"/>
      <c r="Q106" s="3"/>
    </row>
    <row r="107" s="1" customFormat="1" spans="1:17">
      <c r="A107" s="2">
        <v>24406020319</v>
      </c>
      <c r="B107" s="3"/>
      <c r="C107" s="3">
        <v>1</v>
      </c>
      <c r="D107" s="3">
        <v>1</v>
      </c>
      <c r="E107" s="3">
        <v>0</v>
      </c>
      <c r="F107" s="3">
        <v>0</v>
      </c>
      <c r="G107" s="4">
        <v>25</v>
      </c>
      <c r="I107" s="3"/>
      <c r="P107" s="3"/>
      <c r="Q107" s="3"/>
    </row>
    <row r="108" s="1" customFormat="1" spans="1:17">
      <c r="A108" s="2">
        <v>24402010617</v>
      </c>
      <c r="B108" s="3"/>
      <c r="C108" s="3">
        <v>1</v>
      </c>
      <c r="D108" s="3">
        <v>0</v>
      </c>
      <c r="E108" s="3">
        <v>0</v>
      </c>
      <c r="F108" s="3">
        <v>0</v>
      </c>
      <c r="G108" s="4">
        <v>18</v>
      </c>
      <c r="I108" s="3"/>
      <c r="P108" s="3"/>
      <c r="Q108" s="3"/>
    </row>
    <row r="109" s="1" customFormat="1" ht="15.15" spans="1:17">
      <c r="A109" s="2">
        <v>24413040246</v>
      </c>
      <c r="B109" s="3"/>
      <c r="C109" s="3">
        <v>1</v>
      </c>
      <c r="D109" s="3">
        <v>1</v>
      </c>
      <c r="E109" s="3">
        <v>0</v>
      </c>
      <c r="F109" s="3">
        <v>0</v>
      </c>
      <c r="G109" s="4">
        <v>25</v>
      </c>
      <c r="I109" s="3"/>
      <c r="P109" s="3"/>
      <c r="Q109" s="3"/>
    </row>
    <row r="110" s="1" customFormat="1" spans="1:17">
      <c r="A110" s="7">
        <v>24414030125</v>
      </c>
      <c r="B110" s="3"/>
      <c r="C110" s="3">
        <v>1</v>
      </c>
      <c r="D110" s="3">
        <v>1</v>
      </c>
      <c r="E110" s="3">
        <v>0</v>
      </c>
      <c r="F110" s="3">
        <v>0</v>
      </c>
      <c r="G110" s="4">
        <v>54</v>
      </c>
      <c r="I110" s="3"/>
      <c r="P110" s="3"/>
      <c r="Q110" s="3"/>
    </row>
    <row r="111" s="1" customFormat="1" spans="1:17">
      <c r="A111" s="9">
        <v>24414030130</v>
      </c>
      <c r="B111" s="3"/>
      <c r="C111" s="3">
        <v>1</v>
      </c>
      <c r="D111" s="3">
        <v>1</v>
      </c>
      <c r="E111" s="3">
        <v>0</v>
      </c>
      <c r="F111" s="3">
        <v>0</v>
      </c>
      <c r="G111" s="4"/>
      <c r="I111" s="3"/>
      <c r="P111" s="3"/>
      <c r="Q111" s="3"/>
    </row>
    <row r="112" s="1" customFormat="1" ht="15.15" spans="1:17">
      <c r="A112" s="10">
        <v>24414030136</v>
      </c>
      <c r="B112" s="3"/>
      <c r="C112" s="3">
        <v>1</v>
      </c>
      <c r="D112" s="3">
        <v>1</v>
      </c>
      <c r="E112" s="3">
        <v>0</v>
      </c>
      <c r="F112" s="3">
        <v>0</v>
      </c>
      <c r="G112" s="4"/>
      <c r="I112" s="3"/>
      <c r="P112" s="3"/>
      <c r="Q112" s="3"/>
    </row>
    <row r="113" s="1" customFormat="1" spans="1:17">
      <c r="A113" s="2">
        <v>24417030407</v>
      </c>
      <c r="B113" s="3"/>
      <c r="C113" s="3">
        <v>1</v>
      </c>
      <c r="D113" s="3">
        <v>1</v>
      </c>
      <c r="E113" s="3">
        <v>0</v>
      </c>
      <c r="F113" s="3">
        <v>0</v>
      </c>
      <c r="G113" s="4">
        <v>25</v>
      </c>
      <c r="H113" s="1">
        <v>328</v>
      </c>
      <c r="I113" s="3"/>
      <c r="P113" s="3"/>
      <c r="Q113" s="3"/>
    </row>
    <row r="114" s="1" customFormat="1" spans="1:17">
      <c r="A114" s="2">
        <v>24404010215</v>
      </c>
      <c r="B114" s="3"/>
      <c r="C114" s="3">
        <v>1</v>
      </c>
      <c r="D114" s="3">
        <v>1</v>
      </c>
      <c r="E114" s="3">
        <v>1</v>
      </c>
      <c r="F114" s="3">
        <v>1</v>
      </c>
      <c r="G114" s="4">
        <v>27</v>
      </c>
      <c r="I114" s="3"/>
      <c r="P114" s="3"/>
      <c r="Q114" s="3"/>
    </row>
    <row r="115" s="1" customFormat="1" spans="1:17">
      <c r="A115" s="2">
        <v>24404010429</v>
      </c>
      <c r="B115" s="3"/>
      <c r="C115" s="3">
        <v>1</v>
      </c>
      <c r="D115" s="3">
        <v>1</v>
      </c>
      <c r="E115" s="3">
        <v>0</v>
      </c>
      <c r="F115" s="3">
        <v>0</v>
      </c>
      <c r="G115" s="4">
        <f>25/2</f>
        <v>12.5</v>
      </c>
      <c r="H115" s="1" t="s">
        <v>20</v>
      </c>
      <c r="I115" s="3">
        <v>10.3</v>
      </c>
      <c r="J115" s="15"/>
      <c r="K115" s="1"/>
      <c r="N115" s="15"/>
      <c r="O115" s="15"/>
      <c r="P115" s="3"/>
      <c r="Q115" s="3"/>
    </row>
    <row r="116" s="1" customFormat="1" spans="1:17">
      <c r="A116" s="2">
        <v>24402010717</v>
      </c>
      <c r="B116" s="3" t="s">
        <v>41</v>
      </c>
      <c r="C116" s="3">
        <v>1</v>
      </c>
      <c r="D116" s="3">
        <v>0</v>
      </c>
      <c r="E116" s="3">
        <v>0</v>
      </c>
      <c r="F116" s="3">
        <v>0</v>
      </c>
      <c r="G116" s="4">
        <f t="shared" ref="G116:G118" si="4">20/2</f>
        <v>10</v>
      </c>
      <c r="I116" s="3"/>
      <c r="P116" s="3"/>
      <c r="Q116" s="3"/>
    </row>
    <row r="117" s="1" customFormat="1" spans="1:17">
      <c r="A117" s="2">
        <v>24401090125</v>
      </c>
      <c r="B117" s="3"/>
      <c r="C117" s="3">
        <v>1</v>
      </c>
      <c r="D117" s="3">
        <v>0</v>
      </c>
      <c r="E117" s="3">
        <v>0</v>
      </c>
      <c r="F117" s="3">
        <v>0</v>
      </c>
      <c r="G117" s="4">
        <f t="shared" si="4"/>
        <v>10</v>
      </c>
      <c r="I117" s="3"/>
      <c r="P117" s="3"/>
      <c r="Q117" s="3"/>
    </row>
    <row r="118" s="1" customFormat="1" spans="1:17">
      <c r="A118" s="2">
        <v>24418010246</v>
      </c>
      <c r="B118" s="3" t="s">
        <v>42</v>
      </c>
      <c r="C118" s="3">
        <v>1</v>
      </c>
      <c r="D118" s="3">
        <v>0</v>
      </c>
      <c r="E118" s="3">
        <v>0</v>
      </c>
      <c r="F118" s="3">
        <v>0</v>
      </c>
      <c r="G118" s="4">
        <f t="shared" si="4"/>
        <v>10</v>
      </c>
      <c r="I118" s="3"/>
      <c r="P118" s="3"/>
      <c r="Q118" s="3"/>
    </row>
    <row r="119" s="1" customFormat="1" spans="1:17">
      <c r="A119" s="2">
        <v>24401090126</v>
      </c>
      <c r="B119" s="3">
        <v>123456</v>
      </c>
      <c r="C119" s="3">
        <v>1</v>
      </c>
      <c r="D119" s="3">
        <v>1</v>
      </c>
      <c r="E119" s="3">
        <v>0</v>
      </c>
      <c r="F119" s="3">
        <v>0</v>
      </c>
      <c r="G119" s="4">
        <f>25/2</f>
        <v>12.5</v>
      </c>
      <c r="I119" s="3"/>
      <c r="P119" s="3"/>
      <c r="Q119" s="3"/>
    </row>
    <row r="120" spans="1:17">
      <c r="A120" s="2">
        <v>24401030203</v>
      </c>
      <c r="C120" s="3">
        <v>1</v>
      </c>
      <c r="D120" s="3">
        <v>1</v>
      </c>
      <c r="E120" s="3">
        <v>0</v>
      </c>
      <c r="F120" s="3">
        <v>0</v>
      </c>
      <c r="G120" s="4">
        <f>20/2</f>
        <v>10</v>
      </c>
      <c r="H120" s="1" t="s">
        <v>36</v>
      </c>
      <c r="I120" s="3">
        <v>11.2</v>
      </c>
    </row>
    <row r="121" ht="15.15" spans="1:17">
      <c r="A121" s="2">
        <v>24401030214</v>
      </c>
      <c r="B121" s="3" t="s">
        <v>43</v>
      </c>
      <c r="C121" s="3">
        <v>1</v>
      </c>
      <c r="D121" s="3">
        <v>1</v>
      </c>
      <c r="E121" s="3">
        <v>0</v>
      </c>
      <c r="F121" s="3">
        <v>0</v>
      </c>
      <c r="G121" s="4">
        <f>20/2</f>
        <v>10</v>
      </c>
    </row>
    <row r="122" spans="1:17">
      <c r="A122" s="7">
        <v>24404010433</v>
      </c>
      <c r="B122" s="3" t="s">
        <v>44</v>
      </c>
      <c r="C122" s="3">
        <v>1</v>
      </c>
      <c r="D122" s="3">
        <v>1</v>
      </c>
      <c r="E122" s="3">
        <v>0</v>
      </c>
      <c r="F122" s="3">
        <v>0</v>
      </c>
      <c r="G122" s="4">
        <f t="shared" ref="G122:G125" si="5">22/2</f>
        <v>11</v>
      </c>
      <c r="H122" s="1" t="s">
        <v>20</v>
      </c>
    </row>
    <row r="123" spans="1:17">
      <c r="A123" s="9">
        <v>24404010436</v>
      </c>
      <c r="C123" s="3">
        <v>1</v>
      </c>
      <c r="D123" s="3">
        <v>1</v>
      </c>
      <c r="E123" s="3">
        <v>0</v>
      </c>
      <c r="F123" s="3">
        <v>0</v>
      </c>
      <c r="G123" s="4">
        <f t="shared" si="5"/>
        <v>11</v>
      </c>
    </row>
    <row r="124" spans="1:17">
      <c r="A124" s="9">
        <v>24404010432</v>
      </c>
      <c r="C124" s="3">
        <v>1</v>
      </c>
      <c r="D124" s="3">
        <v>1</v>
      </c>
      <c r="E124" s="3">
        <v>0</v>
      </c>
      <c r="F124" s="3">
        <v>0</v>
      </c>
      <c r="G124" s="4">
        <f t="shared" si="5"/>
        <v>11</v>
      </c>
    </row>
    <row r="125" ht="15.15" spans="1:17">
      <c r="A125" s="10">
        <v>24404010431</v>
      </c>
      <c r="B125" s="3" t="s">
        <v>45</v>
      </c>
      <c r="C125" s="3">
        <v>1</v>
      </c>
      <c r="D125" s="3">
        <v>1</v>
      </c>
      <c r="E125" s="3">
        <v>0</v>
      </c>
      <c r="F125" s="3">
        <v>0</v>
      </c>
      <c r="G125" s="4">
        <f t="shared" si="5"/>
        <v>11</v>
      </c>
    </row>
    <row r="126" spans="1:17">
      <c r="A126" s="7">
        <v>24417030445</v>
      </c>
      <c r="C126" s="3">
        <v>1</v>
      </c>
      <c r="D126" s="3">
        <v>1</v>
      </c>
      <c r="E126" s="3">
        <v>0</v>
      </c>
      <c r="F126" s="3">
        <v>0</v>
      </c>
      <c r="G126" s="4">
        <f>25*3</f>
        <v>75</v>
      </c>
      <c r="H126" s="1">
        <v>315</v>
      </c>
    </row>
    <row r="127" spans="1:17">
      <c r="A127" s="9">
        <v>24417030446</v>
      </c>
      <c r="C127" s="3">
        <v>1</v>
      </c>
      <c r="D127" s="3">
        <v>1</v>
      </c>
      <c r="E127" s="3">
        <v>0</v>
      </c>
      <c r="F127" s="3">
        <v>0</v>
      </c>
    </row>
    <row r="128" ht="15.15" spans="1:17">
      <c r="A128" s="10">
        <v>24417030447</v>
      </c>
      <c r="C128" s="3">
        <v>1</v>
      </c>
      <c r="D128" s="3">
        <v>1</v>
      </c>
      <c r="E128" s="3">
        <v>0</v>
      </c>
      <c r="F128" s="3">
        <v>0</v>
      </c>
    </row>
    <row r="129" ht="15.15" spans="1:15">
      <c r="A129" s="2">
        <v>24406050215</v>
      </c>
      <c r="C129" s="3">
        <v>1</v>
      </c>
      <c r="D129" s="3">
        <v>1</v>
      </c>
      <c r="E129" s="3">
        <v>0</v>
      </c>
      <c r="F129" s="3">
        <v>0</v>
      </c>
      <c r="G129" s="4">
        <v>25</v>
      </c>
      <c r="H129" s="1">
        <v>328</v>
      </c>
      <c r="O129" s="1" t="s">
        <v>46</v>
      </c>
    </row>
    <row r="130" spans="1:15">
      <c r="A130" s="7">
        <v>24407010208</v>
      </c>
      <c r="C130" s="3">
        <v>1</v>
      </c>
      <c r="D130" s="3">
        <v>1</v>
      </c>
      <c r="E130" s="3">
        <v>1</v>
      </c>
      <c r="F130" s="3">
        <v>1</v>
      </c>
      <c r="G130" s="4">
        <f>20*7</f>
        <v>140</v>
      </c>
    </row>
    <row r="131" spans="1:15">
      <c r="A131" s="9">
        <v>24407010217</v>
      </c>
      <c r="C131" s="3">
        <v>1</v>
      </c>
      <c r="D131" s="3">
        <v>1</v>
      </c>
      <c r="E131" s="3">
        <v>1</v>
      </c>
      <c r="F131" s="3">
        <v>1</v>
      </c>
    </row>
    <row r="132" spans="1:15">
      <c r="A132" s="9">
        <v>24407010218</v>
      </c>
      <c r="C132" s="3">
        <v>1</v>
      </c>
      <c r="D132" s="3">
        <v>1</v>
      </c>
      <c r="E132" s="3">
        <v>1</v>
      </c>
      <c r="F132" s="3">
        <v>1</v>
      </c>
    </row>
    <row r="133" spans="1:15">
      <c r="A133" s="9">
        <v>24407010219</v>
      </c>
      <c r="C133" s="3">
        <v>1</v>
      </c>
      <c r="D133" s="3">
        <v>1</v>
      </c>
      <c r="E133" s="3">
        <v>1</v>
      </c>
      <c r="F133" s="3">
        <v>1</v>
      </c>
    </row>
    <row r="134" spans="1:15">
      <c r="A134" s="9">
        <v>24407010220</v>
      </c>
      <c r="C134" s="3">
        <v>1</v>
      </c>
      <c r="D134" s="3">
        <v>1</v>
      </c>
      <c r="E134" s="3">
        <v>1</v>
      </c>
      <c r="F134" s="3">
        <v>1</v>
      </c>
    </row>
    <row r="135" spans="1:15">
      <c r="A135" s="9">
        <v>24407010205</v>
      </c>
      <c r="C135" s="3">
        <v>1</v>
      </c>
      <c r="D135" s="3">
        <v>1</v>
      </c>
      <c r="E135" s="3">
        <v>1</v>
      </c>
      <c r="F135" s="3">
        <v>1</v>
      </c>
    </row>
    <row r="136" ht="15.15" spans="1:15">
      <c r="A136" s="10">
        <v>24407010207</v>
      </c>
      <c r="C136" s="3">
        <v>1</v>
      </c>
      <c r="D136" s="3">
        <v>1</v>
      </c>
      <c r="E136" s="3">
        <v>1</v>
      </c>
      <c r="F136" s="3">
        <v>1</v>
      </c>
    </row>
    <row r="137" spans="1:15">
      <c r="A137" s="2">
        <v>24404010518</v>
      </c>
      <c r="C137" s="3">
        <v>1</v>
      </c>
      <c r="D137" s="3">
        <v>1</v>
      </c>
      <c r="E137" s="3">
        <v>0</v>
      </c>
      <c r="F137" s="3">
        <v>0</v>
      </c>
      <c r="G137" s="4">
        <v>25</v>
      </c>
      <c r="H137" s="1">
        <v>315</v>
      </c>
      <c r="I137" s="3">
        <v>11.3</v>
      </c>
      <c r="N137" s="1" t="s">
        <v>47</v>
      </c>
    </row>
    <row r="138" spans="1:15">
      <c r="A138" s="2">
        <v>24404010610</v>
      </c>
      <c r="C138" s="3">
        <v>1</v>
      </c>
      <c r="D138" s="3">
        <v>1</v>
      </c>
      <c r="E138" s="3">
        <v>1</v>
      </c>
      <c r="F138" s="3">
        <v>1</v>
      </c>
      <c r="G138" s="4">
        <v>28</v>
      </c>
    </row>
    <row r="139" spans="1:15">
      <c r="A139" s="2">
        <v>24405010205</v>
      </c>
      <c r="C139" s="3">
        <v>1</v>
      </c>
      <c r="D139" s="3">
        <v>1</v>
      </c>
      <c r="E139" s="3">
        <v>0</v>
      </c>
      <c r="F139" s="3">
        <v>0</v>
      </c>
      <c r="G139" s="4">
        <v>20</v>
      </c>
    </row>
    <row r="140" ht="15.15" spans="1:15">
      <c r="A140" s="2">
        <v>24407010313</v>
      </c>
      <c r="C140" s="3">
        <v>1</v>
      </c>
      <c r="D140" s="3">
        <v>1</v>
      </c>
      <c r="E140" s="3">
        <v>1</v>
      </c>
      <c r="F140" s="3">
        <v>1</v>
      </c>
      <c r="G140" s="4">
        <v>28</v>
      </c>
    </row>
    <row r="141" spans="1:15">
      <c r="A141" s="7">
        <v>24406020236</v>
      </c>
      <c r="B141" s="3" t="s">
        <v>48</v>
      </c>
      <c r="C141" s="3">
        <v>1</v>
      </c>
      <c r="D141" s="3">
        <v>0</v>
      </c>
      <c r="E141" s="3">
        <v>0</v>
      </c>
      <c r="F141" s="3">
        <v>0</v>
      </c>
      <c r="G141" s="4">
        <f>16*4</f>
        <v>64</v>
      </c>
      <c r="N141" s="1" t="s">
        <v>47</v>
      </c>
    </row>
    <row r="142" spans="1:15">
      <c r="A142" s="9">
        <v>24405080112</v>
      </c>
      <c r="C142" s="3">
        <v>1</v>
      </c>
      <c r="D142" s="3">
        <v>0</v>
      </c>
      <c r="E142" s="3">
        <v>0</v>
      </c>
      <c r="F142" s="3">
        <v>0</v>
      </c>
    </row>
    <row r="143" spans="1:15">
      <c r="A143" s="9">
        <v>24405080113</v>
      </c>
      <c r="C143" s="3">
        <v>1</v>
      </c>
      <c r="D143" s="3">
        <v>0</v>
      </c>
      <c r="E143" s="3">
        <v>0</v>
      </c>
      <c r="F143" s="3">
        <v>0</v>
      </c>
    </row>
    <row r="144" ht="15.15" spans="1:15">
      <c r="A144" s="10">
        <v>24405080114</v>
      </c>
      <c r="C144" s="3">
        <v>1</v>
      </c>
      <c r="D144" s="3">
        <v>0</v>
      </c>
      <c r="E144" s="3">
        <v>0</v>
      </c>
      <c r="F144" s="3">
        <v>0</v>
      </c>
    </row>
    <row r="145" spans="1:9">
      <c r="A145" s="2">
        <v>24405010105</v>
      </c>
      <c r="B145" s="3">
        <v>30061177</v>
      </c>
      <c r="C145" s="3">
        <v>1</v>
      </c>
      <c r="D145" s="3">
        <v>1</v>
      </c>
      <c r="E145" s="3">
        <v>0</v>
      </c>
      <c r="F145" s="3">
        <v>0</v>
      </c>
      <c r="G145" s="4">
        <v>18</v>
      </c>
    </row>
    <row r="146" spans="1:9">
      <c r="A146" s="2">
        <v>24417030350</v>
      </c>
      <c r="C146" s="3">
        <v>1</v>
      </c>
      <c r="D146" s="3">
        <v>1</v>
      </c>
      <c r="E146" s="3">
        <v>0</v>
      </c>
      <c r="F146" s="3">
        <v>0</v>
      </c>
      <c r="G146" s="4">
        <v>15</v>
      </c>
    </row>
    <row r="147" ht="15.15" spans="1:9">
      <c r="A147" s="2">
        <v>24403010418</v>
      </c>
      <c r="C147" s="3">
        <v>1</v>
      </c>
      <c r="D147" s="3">
        <v>1</v>
      </c>
      <c r="E147" s="3">
        <v>0</v>
      </c>
      <c r="F147" s="3">
        <v>0</v>
      </c>
      <c r="G147" s="4">
        <v>25</v>
      </c>
    </row>
    <row r="148" spans="1:9">
      <c r="A148" s="7">
        <v>24408040119</v>
      </c>
      <c r="C148" s="3">
        <v>1</v>
      </c>
      <c r="D148" s="3">
        <v>1</v>
      </c>
      <c r="E148" s="3">
        <v>0</v>
      </c>
      <c r="F148" s="3">
        <v>0</v>
      </c>
      <c r="G148" s="4">
        <f>25*2</f>
        <v>50</v>
      </c>
    </row>
    <row r="149" ht="15.15" spans="1:9">
      <c r="A149" s="10">
        <v>24408040118</v>
      </c>
      <c r="C149" s="3">
        <v>1</v>
      </c>
      <c r="D149" s="3">
        <v>1</v>
      </c>
      <c r="E149" s="3">
        <v>0</v>
      </c>
      <c r="F149" s="3">
        <v>0</v>
      </c>
    </row>
    <row r="150" spans="1:9">
      <c r="A150" s="2">
        <v>23406020107</v>
      </c>
      <c r="C150" s="3">
        <v>1</v>
      </c>
      <c r="D150" s="3">
        <v>1</v>
      </c>
      <c r="E150" s="3">
        <v>0</v>
      </c>
      <c r="F150" s="3">
        <v>0</v>
      </c>
      <c r="G150" s="4">
        <v>25</v>
      </c>
    </row>
    <row r="151" spans="1:9">
      <c r="A151" s="2">
        <v>24402010641</v>
      </c>
      <c r="C151" s="3">
        <v>1</v>
      </c>
      <c r="D151" s="3">
        <v>1</v>
      </c>
      <c r="E151" s="3">
        <v>0</v>
      </c>
      <c r="F151" s="3">
        <v>0</v>
      </c>
      <c r="G151" s="4">
        <v>45</v>
      </c>
      <c r="H151" s="1">
        <v>315</v>
      </c>
      <c r="I151" s="3">
        <v>11.4</v>
      </c>
    </row>
    <row r="152" spans="1:9">
      <c r="A152" s="2">
        <v>25401030117</v>
      </c>
      <c r="C152" s="3">
        <v>1</v>
      </c>
      <c r="D152" s="3">
        <v>1</v>
      </c>
      <c r="E152" s="3">
        <v>0</v>
      </c>
      <c r="F152" s="3">
        <v>0</v>
      </c>
    </row>
    <row r="153" spans="1:9">
      <c r="A153" s="2">
        <v>24402010702</v>
      </c>
      <c r="B153" s="3">
        <v>20061125</v>
      </c>
      <c r="C153" s="3">
        <v>1</v>
      </c>
      <c r="D153" s="3">
        <v>1</v>
      </c>
      <c r="E153" s="3">
        <v>0</v>
      </c>
      <c r="F153" s="3">
        <v>0</v>
      </c>
      <c r="G153" s="4">
        <f>25/2</f>
        <v>12.5</v>
      </c>
      <c r="H153" s="1" t="s">
        <v>20</v>
      </c>
    </row>
    <row r="154" spans="1:9">
      <c r="A154" s="2">
        <v>25401030126</v>
      </c>
      <c r="C154" s="3">
        <v>1</v>
      </c>
      <c r="D154" s="3">
        <v>1</v>
      </c>
      <c r="E154" s="3">
        <v>0</v>
      </c>
      <c r="F154" s="3">
        <v>0</v>
      </c>
      <c r="G154" s="4">
        <v>25</v>
      </c>
      <c r="H154" s="1" t="s">
        <v>49</v>
      </c>
      <c r="I154" s="3">
        <v>11.6</v>
      </c>
    </row>
    <row r="155" spans="1:9">
      <c r="A155" s="2">
        <v>25401060130</v>
      </c>
      <c r="C155" s="3">
        <v>1</v>
      </c>
      <c r="D155" s="3">
        <v>0</v>
      </c>
      <c r="E155" s="3">
        <v>0</v>
      </c>
      <c r="F155" s="3">
        <v>0</v>
      </c>
      <c r="G155" s="4">
        <v>20</v>
      </c>
    </row>
    <row r="156" ht="15.15" spans="1:9">
      <c r="A156" s="2">
        <v>24408040117</v>
      </c>
      <c r="C156" s="3">
        <v>1</v>
      </c>
      <c r="D156" s="3">
        <v>0</v>
      </c>
      <c r="E156" s="3">
        <v>0</v>
      </c>
      <c r="F156" s="3">
        <v>0</v>
      </c>
      <c r="G156" s="4">
        <v>20</v>
      </c>
      <c r="H156" s="1">
        <v>315</v>
      </c>
    </row>
    <row r="157" spans="1:9">
      <c r="A157" s="7">
        <v>22603098417</v>
      </c>
      <c r="C157" s="3">
        <v>1</v>
      </c>
      <c r="D157" s="3">
        <v>1</v>
      </c>
      <c r="E157" s="3">
        <v>0</v>
      </c>
      <c r="F157" s="3">
        <v>0</v>
      </c>
      <c r="G157" s="4">
        <v>44</v>
      </c>
    </row>
    <row r="158" ht="15.15" spans="1:9">
      <c r="A158" s="10">
        <v>22602098008</v>
      </c>
      <c r="C158" s="3">
        <v>1</v>
      </c>
      <c r="D158" s="3">
        <v>1</v>
      </c>
      <c r="E158" s="3">
        <v>0</v>
      </c>
      <c r="F158" s="3">
        <v>0</v>
      </c>
    </row>
    <row r="159" spans="1:9">
      <c r="A159" s="7">
        <v>24406060226</v>
      </c>
      <c r="B159" s="3" t="s">
        <v>50</v>
      </c>
      <c r="C159" s="3">
        <v>1</v>
      </c>
      <c r="D159" s="3">
        <v>1</v>
      </c>
      <c r="E159" s="3">
        <v>1</v>
      </c>
      <c r="F159" s="3">
        <v>1</v>
      </c>
      <c r="G159" s="4">
        <v>50</v>
      </c>
    </row>
    <row r="160" ht="15.15" spans="1:9">
      <c r="A160" s="10">
        <v>24406060228</v>
      </c>
      <c r="C160" s="3">
        <v>1</v>
      </c>
      <c r="D160" s="3">
        <v>1</v>
      </c>
      <c r="E160" s="3">
        <v>1</v>
      </c>
      <c r="F160" s="3">
        <v>1</v>
      </c>
    </row>
    <row r="161" spans="1:17">
      <c r="A161" s="7">
        <v>23610099818</v>
      </c>
      <c r="C161" s="3">
        <v>1</v>
      </c>
      <c r="D161" s="3">
        <v>1</v>
      </c>
      <c r="E161" s="3">
        <v>0</v>
      </c>
      <c r="F161" s="3">
        <v>0</v>
      </c>
      <c r="G161" s="4">
        <v>45</v>
      </c>
    </row>
    <row r="162" ht="15.15" spans="1:17">
      <c r="A162" s="10">
        <v>23610099808</v>
      </c>
      <c r="C162" s="3">
        <v>1</v>
      </c>
      <c r="D162" s="3">
        <v>1</v>
      </c>
      <c r="E162" s="3">
        <v>0</v>
      </c>
      <c r="F162" s="3">
        <v>0</v>
      </c>
      <c r="G162" s="4">
        <v>45</v>
      </c>
    </row>
    <row r="163" spans="1:17">
      <c r="A163" s="2">
        <v>24413040107</v>
      </c>
      <c r="C163" s="3">
        <v>1</v>
      </c>
      <c r="D163" s="3">
        <v>1</v>
      </c>
      <c r="E163" s="3">
        <v>0</v>
      </c>
      <c r="F163" s="3">
        <v>0</v>
      </c>
      <c r="G163" s="4">
        <f>20/2</f>
        <v>10</v>
      </c>
      <c r="H163" s="1" t="s">
        <v>36</v>
      </c>
    </row>
    <row r="164" spans="1:17">
      <c r="A164" s="2">
        <v>24403040120</v>
      </c>
      <c r="C164" s="3">
        <v>1</v>
      </c>
      <c r="D164" s="3">
        <v>1</v>
      </c>
      <c r="E164" s="3">
        <v>1</v>
      </c>
      <c r="F164" s="3">
        <v>1</v>
      </c>
      <c r="G164" s="4">
        <v>23</v>
      </c>
      <c r="H164" s="1">
        <v>315</v>
      </c>
      <c r="I164" s="3">
        <v>11.1</v>
      </c>
    </row>
    <row r="165" spans="1:17">
      <c r="A165" s="2">
        <v>24403040121</v>
      </c>
      <c r="C165" s="3">
        <v>1</v>
      </c>
      <c r="D165" s="3">
        <v>1</v>
      </c>
      <c r="E165" s="3">
        <v>1</v>
      </c>
      <c r="F165" s="3">
        <v>1</v>
      </c>
      <c r="G165" s="4">
        <v>23</v>
      </c>
    </row>
    <row r="166" spans="1:17">
      <c r="A166" s="2">
        <v>24403040122</v>
      </c>
      <c r="C166" s="3">
        <v>1</v>
      </c>
      <c r="D166" s="3">
        <v>0</v>
      </c>
      <c r="E166" s="3">
        <v>0</v>
      </c>
      <c r="F166" s="3">
        <v>0</v>
      </c>
      <c r="G166" s="4">
        <v>18</v>
      </c>
    </row>
    <row r="167" spans="1:17">
      <c r="A167" s="2">
        <v>24405010121</v>
      </c>
      <c r="C167" s="3">
        <v>1</v>
      </c>
      <c r="D167" s="3">
        <v>0</v>
      </c>
      <c r="E167" s="3">
        <v>0</v>
      </c>
      <c r="F167" s="3">
        <v>0</v>
      </c>
      <c r="G167" s="4">
        <v>15</v>
      </c>
      <c r="J167" s="1">
        <v>40</v>
      </c>
    </row>
    <row r="168" spans="1:17">
      <c r="A168" s="2" t="s">
        <v>51</v>
      </c>
      <c r="C168" s="3">
        <v>1</v>
      </c>
      <c r="D168" s="3">
        <v>0</v>
      </c>
      <c r="E168" s="3">
        <v>1</v>
      </c>
      <c r="F168" s="3">
        <v>1</v>
      </c>
      <c r="G168" s="4">
        <v>10</v>
      </c>
      <c r="J168" s="1">
        <v>20</v>
      </c>
      <c r="P168" s="6">
        <v>1</v>
      </c>
      <c r="Q168" s="3">
        <v>1</v>
      </c>
    </row>
    <row r="169" spans="1:17">
      <c r="A169" s="2">
        <v>24414010304</v>
      </c>
      <c r="C169" s="3">
        <v>1</v>
      </c>
      <c r="D169" s="3">
        <v>1</v>
      </c>
      <c r="E169" s="3">
        <v>0</v>
      </c>
      <c r="F169" s="3">
        <v>0</v>
      </c>
      <c r="G169" s="4">
        <v>25</v>
      </c>
    </row>
    <row r="170" ht="15.15" spans="1:17">
      <c r="A170" s="2">
        <v>24414010303</v>
      </c>
      <c r="C170" s="3">
        <v>1</v>
      </c>
      <c r="D170" s="3">
        <v>1</v>
      </c>
      <c r="E170" s="3">
        <v>0</v>
      </c>
      <c r="F170" s="3">
        <v>0</v>
      </c>
      <c r="G170" s="4">
        <v>25</v>
      </c>
      <c r="H170" s="1">
        <v>328</v>
      </c>
    </row>
    <row r="171" spans="1:17">
      <c r="A171" s="7">
        <v>22610099212</v>
      </c>
      <c r="C171" s="3">
        <v>1</v>
      </c>
      <c r="D171" s="3">
        <v>1</v>
      </c>
      <c r="E171" s="3">
        <v>0</v>
      </c>
      <c r="F171" s="3">
        <v>0</v>
      </c>
      <c r="G171" s="4">
        <f>20*5/2</f>
        <v>50</v>
      </c>
      <c r="H171" s="1" t="s">
        <v>20</v>
      </c>
    </row>
    <row r="172" spans="1:17">
      <c r="A172" s="9">
        <v>22610099214</v>
      </c>
      <c r="C172" s="3">
        <v>1</v>
      </c>
      <c r="D172" s="3">
        <v>1</v>
      </c>
      <c r="E172" s="3">
        <v>0</v>
      </c>
      <c r="F172" s="3">
        <v>0</v>
      </c>
    </row>
    <row r="173" spans="1:17">
      <c r="A173" s="9">
        <v>22610099211</v>
      </c>
      <c r="C173" s="3">
        <v>1</v>
      </c>
      <c r="D173" s="3">
        <v>1</v>
      </c>
      <c r="E173" s="3">
        <v>0</v>
      </c>
      <c r="F173" s="3">
        <v>0</v>
      </c>
    </row>
    <row r="174" spans="1:17">
      <c r="A174" s="9">
        <v>22610099012</v>
      </c>
      <c r="C174" s="3">
        <v>1</v>
      </c>
      <c r="D174" s="3">
        <v>1</v>
      </c>
      <c r="E174" s="3">
        <v>0</v>
      </c>
      <c r="F174" s="3">
        <v>0</v>
      </c>
    </row>
    <row r="175" ht="15.15" spans="1:17">
      <c r="A175" s="10">
        <v>22610099102</v>
      </c>
      <c r="C175" s="3">
        <v>1</v>
      </c>
      <c r="D175" s="3">
        <v>1</v>
      </c>
      <c r="E175" s="3">
        <v>0</v>
      </c>
      <c r="F175" s="3">
        <v>0</v>
      </c>
    </row>
    <row r="176" spans="1:17">
      <c r="A176" s="2">
        <v>24402010720</v>
      </c>
      <c r="C176" s="3">
        <v>1</v>
      </c>
      <c r="D176" s="3">
        <v>1</v>
      </c>
      <c r="E176" s="3">
        <v>0</v>
      </c>
      <c r="F176" s="3">
        <v>0</v>
      </c>
      <c r="G176" s="4">
        <f>25/2</f>
        <v>12.5</v>
      </c>
    </row>
    <row r="177" spans="1:9">
      <c r="A177" s="2">
        <v>24401030216</v>
      </c>
      <c r="C177" s="3">
        <v>1</v>
      </c>
      <c r="D177" s="3">
        <v>1</v>
      </c>
      <c r="E177" s="3">
        <v>0</v>
      </c>
      <c r="F177" s="3">
        <v>0</v>
      </c>
      <c r="G177" s="4">
        <f>20/2</f>
        <v>10</v>
      </c>
      <c r="H177" s="1" t="s">
        <v>36</v>
      </c>
    </row>
    <row r="178" spans="1:9">
      <c r="A178" s="2">
        <v>24403010225</v>
      </c>
      <c r="C178" s="3">
        <v>1</v>
      </c>
      <c r="D178" s="3">
        <v>0</v>
      </c>
      <c r="E178" s="3">
        <v>0</v>
      </c>
      <c r="F178" s="3">
        <v>0</v>
      </c>
      <c r="G178" s="4">
        <f>12/2</f>
        <v>6</v>
      </c>
    </row>
    <row r="179" spans="1:9">
      <c r="A179" s="2">
        <v>24414010335</v>
      </c>
      <c r="C179" s="3">
        <v>1</v>
      </c>
      <c r="D179" s="3">
        <v>1</v>
      </c>
      <c r="E179" s="3">
        <v>1</v>
      </c>
      <c r="F179" s="3">
        <v>1</v>
      </c>
      <c r="G179" s="4">
        <f>23/2</f>
        <v>11.5</v>
      </c>
    </row>
    <row r="180" spans="1:9">
      <c r="A180" s="2">
        <v>24404010606</v>
      </c>
      <c r="C180" s="3">
        <v>1</v>
      </c>
      <c r="D180" s="3">
        <v>1</v>
      </c>
      <c r="E180" s="3">
        <v>1</v>
      </c>
      <c r="F180" s="3">
        <v>1</v>
      </c>
      <c r="G180" s="4">
        <v>35</v>
      </c>
      <c r="H180" s="1">
        <v>315</v>
      </c>
      <c r="I180" s="3">
        <v>11.11</v>
      </c>
    </row>
    <row r="181" spans="1:9">
      <c r="A181" s="2">
        <v>23610099813</v>
      </c>
      <c r="C181" s="3">
        <v>1</v>
      </c>
      <c r="D181" s="3">
        <v>0</v>
      </c>
      <c r="E181" s="3">
        <v>0</v>
      </c>
      <c r="F181" s="3">
        <v>0</v>
      </c>
      <c r="G181" s="4">
        <v>30</v>
      </c>
      <c r="H181" s="1">
        <v>328</v>
      </c>
    </row>
    <row r="182" spans="1:9">
      <c r="A182" s="2">
        <v>24404010214</v>
      </c>
      <c r="C182" s="3">
        <v>1</v>
      </c>
      <c r="D182" s="3">
        <v>0</v>
      </c>
      <c r="E182" s="3">
        <v>0</v>
      </c>
      <c r="F182" s="3">
        <v>0</v>
      </c>
      <c r="G182" s="4">
        <v>20</v>
      </c>
    </row>
    <row r="183" spans="1:9">
      <c r="A183" s="2">
        <v>23610099815</v>
      </c>
      <c r="C183" s="3">
        <v>1</v>
      </c>
      <c r="D183" s="3">
        <v>0</v>
      </c>
      <c r="E183" s="3">
        <v>0</v>
      </c>
      <c r="F183" s="3">
        <v>0</v>
      </c>
      <c r="G183" s="4">
        <v>25</v>
      </c>
    </row>
    <row r="184" ht="15.15" spans="1:9">
      <c r="A184" s="3">
        <v>24402010211</v>
      </c>
      <c r="C184" s="3">
        <v>1</v>
      </c>
      <c r="D184" s="3">
        <v>1</v>
      </c>
      <c r="E184" s="3">
        <v>0</v>
      </c>
      <c r="F184" s="3">
        <v>0</v>
      </c>
      <c r="G184" s="4">
        <f>25/2</f>
        <v>12.5</v>
      </c>
      <c r="H184" s="1" t="s">
        <v>20</v>
      </c>
    </row>
    <row r="185" spans="1:9">
      <c r="A185" s="13">
        <v>24402050116</v>
      </c>
      <c r="B185" s="3">
        <v>3580336873</v>
      </c>
      <c r="C185" s="3">
        <v>1</v>
      </c>
      <c r="D185" s="3">
        <v>1</v>
      </c>
      <c r="E185" s="3">
        <v>0</v>
      </c>
      <c r="F185" s="3">
        <v>0</v>
      </c>
      <c r="G185" s="4">
        <f>20/2</f>
        <v>10</v>
      </c>
    </row>
    <row r="186" spans="1:9">
      <c r="A186" s="12">
        <v>24402050112</v>
      </c>
      <c r="B186" s="3" t="s">
        <v>52</v>
      </c>
      <c r="C186" s="3">
        <v>1</v>
      </c>
      <c r="D186" s="3">
        <v>1</v>
      </c>
      <c r="E186" s="3">
        <v>0</v>
      </c>
      <c r="F186" s="3">
        <v>0</v>
      </c>
      <c r="G186" s="4">
        <f>20/2</f>
        <v>10</v>
      </c>
    </row>
    <row r="187" spans="1:9">
      <c r="A187" s="12">
        <v>24402050114</v>
      </c>
      <c r="B187" s="3" t="s">
        <v>53</v>
      </c>
      <c r="C187" s="3">
        <v>1</v>
      </c>
      <c r="D187" s="3">
        <v>1</v>
      </c>
      <c r="E187" s="3">
        <v>0</v>
      </c>
      <c r="F187" s="3">
        <v>0</v>
      </c>
      <c r="G187" s="4">
        <f>20/2</f>
        <v>10</v>
      </c>
    </row>
    <row r="188" spans="1:9">
      <c r="A188" s="12">
        <v>24402050115</v>
      </c>
      <c r="C188" s="3">
        <v>1</v>
      </c>
      <c r="D188" s="3">
        <v>1</v>
      </c>
      <c r="E188" s="3">
        <v>1</v>
      </c>
      <c r="F188" s="3">
        <v>0</v>
      </c>
      <c r="G188" s="4">
        <f>25/2</f>
        <v>12.5</v>
      </c>
    </row>
    <row r="189" spans="1:9">
      <c r="A189" s="12">
        <v>22610099008</v>
      </c>
      <c r="C189" s="3">
        <v>1</v>
      </c>
      <c r="D189" s="3">
        <v>1</v>
      </c>
      <c r="E189" s="3">
        <v>0</v>
      </c>
      <c r="F189" s="3">
        <v>0</v>
      </c>
      <c r="G189" s="4">
        <v>10</v>
      </c>
    </row>
    <row r="190" ht="15.15" spans="1:9">
      <c r="A190" s="16">
        <v>23610199513</v>
      </c>
      <c r="C190" s="3">
        <v>1</v>
      </c>
      <c r="D190" s="3">
        <v>1</v>
      </c>
      <c r="E190" s="3">
        <v>0</v>
      </c>
      <c r="F190" s="3">
        <v>0</v>
      </c>
      <c r="G190" s="4">
        <v>10</v>
      </c>
    </row>
    <row r="191" spans="1:9">
      <c r="A191" s="3">
        <v>23610099807</v>
      </c>
      <c r="C191" s="3">
        <v>1</v>
      </c>
      <c r="D191" s="3">
        <v>0</v>
      </c>
      <c r="E191" s="3">
        <v>0</v>
      </c>
      <c r="F191" s="3">
        <v>0</v>
      </c>
      <c r="G191" s="4">
        <v>23</v>
      </c>
      <c r="H191" s="1">
        <v>328</v>
      </c>
      <c r="I191" s="3">
        <v>11.12</v>
      </c>
    </row>
    <row r="192" spans="1:9">
      <c r="A192" s="2" t="s">
        <v>54</v>
      </c>
      <c r="C192" s="3">
        <v>1</v>
      </c>
      <c r="D192" s="3">
        <v>1</v>
      </c>
      <c r="E192" s="3">
        <v>1</v>
      </c>
      <c r="F192" s="3">
        <v>1</v>
      </c>
      <c r="G192" s="4">
        <v>30</v>
      </c>
      <c r="H192" s="1">
        <v>315</v>
      </c>
      <c r="I192" s="3" t="s">
        <v>25</v>
      </c>
    </row>
    <row r="193" spans="1:11">
      <c r="A193" s="2" t="s">
        <v>55</v>
      </c>
      <c r="C193" s="3">
        <v>1</v>
      </c>
      <c r="D193" s="3">
        <v>1</v>
      </c>
      <c r="E193" s="3">
        <v>0</v>
      </c>
      <c r="F193" s="3">
        <v>0</v>
      </c>
      <c r="G193" s="4">
        <f>16+10</f>
        <v>26</v>
      </c>
      <c r="H193" s="1" t="s">
        <v>49</v>
      </c>
      <c r="J193" s="1">
        <v>40</v>
      </c>
    </row>
    <row r="194" spans="1:11">
      <c r="A194" s="2" t="s">
        <v>56</v>
      </c>
      <c r="C194" s="3">
        <v>1</v>
      </c>
      <c r="D194" s="3">
        <v>0</v>
      </c>
      <c r="E194" s="3">
        <v>0</v>
      </c>
      <c r="F194" s="3">
        <v>0</v>
      </c>
      <c r="G194" s="4">
        <v>10.8</v>
      </c>
      <c r="K194" s="5">
        <v>1</v>
      </c>
    </row>
    <row r="195" spans="1:11">
      <c r="A195" s="2" t="s">
        <v>57</v>
      </c>
      <c r="C195" s="3">
        <v>1</v>
      </c>
      <c r="D195" s="3">
        <v>1</v>
      </c>
      <c r="E195" s="3">
        <v>0</v>
      </c>
      <c r="F195" s="3">
        <v>0</v>
      </c>
      <c r="G195" s="4">
        <f>10/2</f>
        <v>5</v>
      </c>
      <c r="H195" s="1" t="s">
        <v>36</v>
      </c>
      <c r="I195" s="3" t="s">
        <v>58</v>
      </c>
      <c r="J195" s="1">
        <v>20</v>
      </c>
    </row>
    <row r="196" spans="1:11">
      <c r="A196" s="2" t="s">
        <v>59</v>
      </c>
      <c r="C196" s="3">
        <v>1</v>
      </c>
      <c r="D196" s="3">
        <v>1</v>
      </c>
      <c r="E196" s="3">
        <v>0</v>
      </c>
      <c r="F196" s="3">
        <v>0</v>
      </c>
      <c r="G196" s="4">
        <f>20/2</f>
        <v>10</v>
      </c>
    </row>
    <row r="197" spans="1:11">
      <c r="A197" s="2" t="s">
        <v>60</v>
      </c>
      <c r="C197" s="3">
        <v>1</v>
      </c>
      <c r="D197" s="3">
        <v>0</v>
      </c>
      <c r="E197" s="3">
        <v>0</v>
      </c>
      <c r="F197" s="3">
        <v>0</v>
      </c>
      <c r="G197" s="4">
        <f t="shared" ref="G197:G199" si="6">15/2</f>
        <v>7.5</v>
      </c>
    </row>
    <row r="198" spans="1:11">
      <c r="A198" s="2" t="s">
        <v>61</v>
      </c>
      <c r="C198" s="3">
        <v>1</v>
      </c>
      <c r="D198" s="3">
        <v>0</v>
      </c>
      <c r="E198" s="3">
        <v>0</v>
      </c>
      <c r="F198" s="3">
        <v>0</v>
      </c>
      <c r="G198" s="4">
        <f t="shared" si="6"/>
        <v>7.5</v>
      </c>
    </row>
    <row r="199" spans="1:11">
      <c r="A199" s="2" t="s">
        <v>62</v>
      </c>
      <c r="C199" s="3">
        <v>1</v>
      </c>
      <c r="D199" s="3">
        <v>0</v>
      </c>
      <c r="E199" s="3">
        <v>0</v>
      </c>
      <c r="F199" s="3">
        <v>0</v>
      </c>
      <c r="G199" s="4">
        <f t="shared" si="6"/>
        <v>7.5</v>
      </c>
    </row>
    <row r="200" spans="1:11">
      <c r="A200" s="2" t="s">
        <v>63</v>
      </c>
      <c r="C200" s="3">
        <v>1</v>
      </c>
      <c r="D200" s="3">
        <v>1</v>
      </c>
      <c r="E200" s="3">
        <v>0</v>
      </c>
      <c r="F200" s="3">
        <v>0</v>
      </c>
      <c r="G200" s="4">
        <f>25/2</f>
        <v>12.5</v>
      </c>
      <c r="H200" s="1" t="s">
        <v>20</v>
      </c>
    </row>
    <row r="201" spans="1:11">
      <c r="A201" s="2" t="s">
        <v>64</v>
      </c>
      <c r="B201" s="3" t="s">
        <v>65</v>
      </c>
      <c r="C201" s="3">
        <v>1</v>
      </c>
      <c r="D201" s="3">
        <v>1</v>
      </c>
      <c r="E201" s="3">
        <v>0</v>
      </c>
      <c r="F201" s="3">
        <v>0</v>
      </c>
      <c r="G201" s="4">
        <f>25/2</f>
        <v>12.5</v>
      </c>
    </row>
    <row r="202" spans="1:11">
      <c r="A202" s="2" t="s">
        <v>66</v>
      </c>
      <c r="C202" s="3">
        <v>1</v>
      </c>
      <c r="D202" s="3">
        <v>1</v>
      </c>
      <c r="E202" s="3">
        <v>0</v>
      </c>
      <c r="F202" s="3">
        <v>0</v>
      </c>
      <c r="G202" s="4">
        <v>30</v>
      </c>
      <c r="H202" s="1">
        <v>315</v>
      </c>
      <c r="I202" s="3" t="s">
        <v>67</v>
      </c>
    </row>
    <row r="203" spans="1:11">
      <c r="A203" s="2" t="s">
        <v>68</v>
      </c>
      <c r="C203" s="3">
        <v>1</v>
      </c>
      <c r="D203" s="3">
        <v>0</v>
      </c>
      <c r="E203" s="3">
        <v>0</v>
      </c>
      <c r="F203" s="3">
        <v>0</v>
      </c>
      <c r="G203" s="4">
        <v>20</v>
      </c>
    </row>
    <row r="204" spans="1:11">
      <c r="A204" s="2" t="s">
        <v>69</v>
      </c>
      <c r="C204" s="3">
        <v>1</v>
      </c>
      <c r="D204" s="3">
        <v>1</v>
      </c>
      <c r="E204" s="3">
        <v>0</v>
      </c>
      <c r="F204" s="3">
        <v>0</v>
      </c>
      <c r="G204" s="4">
        <v>30</v>
      </c>
      <c r="H204" s="1">
        <v>315</v>
      </c>
      <c r="I204" s="3" t="s">
        <v>70</v>
      </c>
    </row>
    <row r="205" ht="15.15" spans="1:11">
      <c r="A205" s="2" t="s">
        <v>71</v>
      </c>
      <c r="C205" s="3">
        <v>1</v>
      </c>
      <c r="D205" s="3">
        <v>1</v>
      </c>
      <c r="E205" s="3">
        <v>0</v>
      </c>
      <c r="F205" s="3">
        <v>0</v>
      </c>
      <c r="G205" s="4">
        <v>25</v>
      </c>
    </row>
    <row r="206" spans="1:11">
      <c r="A206" s="7" t="s">
        <v>72</v>
      </c>
      <c r="C206" s="3">
        <v>1</v>
      </c>
      <c r="D206" s="3">
        <v>1</v>
      </c>
      <c r="E206" s="3">
        <v>0</v>
      </c>
      <c r="F206" s="3">
        <v>0</v>
      </c>
      <c r="G206" s="4">
        <f>30*4</f>
        <v>120</v>
      </c>
    </row>
    <row r="207" spans="1:11">
      <c r="A207" s="9" t="s">
        <v>73</v>
      </c>
      <c r="C207" s="3">
        <v>1</v>
      </c>
      <c r="D207" s="3">
        <v>1</v>
      </c>
      <c r="E207" s="3">
        <v>0</v>
      </c>
      <c r="F207" s="3">
        <v>0</v>
      </c>
    </row>
    <row r="208" spans="1:11">
      <c r="A208" s="9" t="s">
        <v>74</v>
      </c>
      <c r="C208" s="3">
        <v>1</v>
      </c>
      <c r="D208" s="3">
        <v>1</v>
      </c>
      <c r="E208" s="3">
        <v>0</v>
      </c>
      <c r="F208" s="3">
        <v>0</v>
      </c>
    </row>
    <row r="209" ht="15.15" spans="1:10">
      <c r="A209" s="10" t="s">
        <v>75</v>
      </c>
      <c r="C209" s="3">
        <v>1</v>
      </c>
      <c r="D209" s="3">
        <v>1</v>
      </c>
      <c r="E209" s="3">
        <v>0</v>
      </c>
      <c r="F209" s="3">
        <v>0</v>
      </c>
    </row>
    <row r="210" spans="1:10">
      <c r="A210" s="2" t="s">
        <v>76</v>
      </c>
      <c r="C210" s="3">
        <v>1</v>
      </c>
      <c r="D210" s="3">
        <v>1</v>
      </c>
      <c r="E210" s="3">
        <v>1</v>
      </c>
      <c r="F210" s="3">
        <v>1</v>
      </c>
      <c r="G210" s="4">
        <v>32</v>
      </c>
    </row>
    <row r="211" spans="1:10">
      <c r="A211" s="2" t="s">
        <v>77</v>
      </c>
      <c r="C211" s="3">
        <v>1</v>
      </c>
      <c r="D211" s="3">
        <v>1</v>
      </c>
      <c r="E211" s="3">
        <v>0</v>
      </c>
      <c r="F211" s="3">
        <v>0</v>
      </c>
      <c r="G211" s="4">
        <f t="shared" ref="G211:G213" si="7">20/2</f>
        <v>10</v>
      </c>
      <c r="H211" s="1" t="s">
        <v>36</v>
      </c>
    </row>
    <row r="212" spans="1:10">
      <c r="A212" s="2" t="s">
        <v>78</v>
      </c>
      <c r="C212" s="3">
        <v>1</v>
      </c>
      <c r="D212" s="3">
        <v>1</v>
      </c>
      <c r="E212" s="3">
        <v>0</v>
      </c>
      <c r="F212" s="3">
        <v>0</v>
      </c>
      <c r="G212" s="4">
        <f t="shared" si="7"/>
        <v>10</v>
      </c>
    </row>
    <row r="213" spans="1:10">
      <c r="A213" s="2" t="s">
        <v>79</v>
      </c>
      <c r="C213" s="3">
        <v>1</v>
      </c>
      <c r="D213" s="3">
        <v>1</v>
      </c>
      <c r="E213" s="3">
        <v>0</v>
      </c>
      <c r="F213" s="3">
        <v>0</v>
      </c>
      <c r="G213" s="4">
        <f t="shared" si="7"/>
        <v>10</v>
      </c>
    </row>
    <row r="214" spans="1:10">
      <c r="A214" s="2" t="s">
        <v>80</v>
      </c>
      <c r="C214" s="3">
        <v>1</v>
      </c>
      <c r="D214" s="3">
        <v>0</v>
      </c>
      <c r="E214" s="3">
        <v>0</v>
      </c>
      <c r="F214" s="3">
        <v>0</v>
      </c>
      <c r="G214" s="4">
        <v>8</v>
      </c>
      <c r="H214" s="1" t="s">
        <v>49</v>
      </c>
      <c r="I214" s="3">
        <v>11.17</v>
      </c>
      <c r="J214" s="1">
        <v>32</v>
      </c>
    </row>
    <row r="215" spans="1:10">
      <c r="A215" s="2" t="s">
        <v>81</v>
      </c>
      <c r="C215" s="3">
        <v>1</v>
      </c>
      <c r="D215" s="3">
        <v>1</v>
      </c>
      <c r="E215" s="3">
        <v>1</v>
      </c>
      <c r="F215" s="3">
        <v>1</v>
      </c>
      <c r="G215" s="4">
        <v>32</v>
      </c>
      <c r="H215" s="1">
        <v>315</v>
      </c>
    </row>
    <row r="216" spans="1:10">
      <c r="A216" s="2" t="s">
        <v>82</v>
      </c>
      <c r="C216" s="3">
        <v>1</v>
      </c>
      <c r="D216" s="3">
        <v>1</v>
      </c>
      <c r="E216" s="3">
        <v>1</v>
      </c>
      <c r="F216" s="3">
        <v>1</v>
      </c>
      <c r="G216" s="4">
        <v>32</v>
      </c>
    </row>
    <row r="217" spans="1:10">
      <c r="A217" s="2" t="s">
        <v>83</v>
      </c>
      <c r="C217" s="3">
        <v>1</v>
      </c>
      <c r="D217" s="3">
        <v>1</v>
      </c>
      <c r="E217" s="3">
        <v>1</v>
      </c>
      <c r="F217" s="3">
        <v>1</v>
      </c>
      <c r="G217" s="4">
        <v>32</v>
      </c>
    </row>
    <row r="218" spans="1:10">
      <c r="A218" s="2" t="s">
        <v>84</v>
      </c>
      <c r="C218" s="3">
        <v>1</v>
      </c>
      <c r="D218" s="3">
        <v>1</v>
      </c>
      <c r="E218" s="3">
        <v>0</v>
      </c>
      <c r="F218" s="3">
        <v>0</v>
      </c>
      <c r="G218" s="4">
        <f t="shared" ref="G218:G220" si="8">20/2</f>
        <v>10</v>
      </c>
      <c r="H218" s="1" t="s">
        <v>36</v>
      </c>
    </row>
    <row r="219" spans="1:10">
      <c r="A219" s="2" t="s">
        <v>85</v>
      </c>
      <c r="C219" s="3">
        <v>1</v>
      </c>
      <c r="D219" s="3">
        <v>1</v>
      </c>
      <c r="E219" s="3">
        <v>0</v>
      </c>
      <c r="F219" s="3">
        <v>0</v>
      </c>
      <c r="G219" s="4">
        <f t="shared" si="8"/>
        <v>10</v>
      </c>
    </row>
    <row r="220" spans="1:10">
      <c r="A220" s="2" t="s">
        <v>86</v>
      </c>
      <c r="C220" s="3">
        <v>1</v>
      </c>
      <c r="D220" s="3">
        <v>1</v>
      </c>
      <c r="E220" s="3">
        <v>0</v>
      </c>
      <c r="F220" s="3">
        <v>0</v>
      </c>
      <c r="G220" s="4">
        <f t="shared" si="8"/>
        <v>10</v>
      </c>
    </row>
    <row r="221" ht="15.15" spans="1:10">
      <c r="A221" s="2" t="s">
        <v>87</v>
      </c>
      <c r="C221" s="3">
        <v>1</v>
      </c>
      <c r="D221" s="3">
        <v>1</v>
      </c>
      <c r="E221" s="3">
        <v>1</v>
      </c>
      <c r="F221" s="3">
        <v>1</v>
      </c>
      <c r="G221" s="4">
        <v>28</v>
      </c>
      <c r="H221" s="1">
        <v>315</v>
      </c>
      <c r="I221" s="3">
        <v>11.18</v>
      </c>
    </row>
    <row r="222" spans="1:10">
      <c r="A222" s="7" t="s">
        <v>88</v>
      </c>
      <c r="C222" s="3">
        <v>1</v>
      </c>
      <c r="D222" s="3">
        <v>1</v>
      </c>
      <c r="E222" s="3">
        <v>0</v>
      </c>
      <c r="F222" s="3">
        <v>0</v>
      </c>
      <c r="G222" s="4">
        <v>23</v>
      </c>
    </row>
    <row r="223" spans="1:10">
      <c r="A223" s="9" t="s">
        <v>89</v>
      </c>
      <c r="C223" s="3">
        <v>1</v>
      </c>
      <c r="D223" s="3">
        <v>1</v>
      </c>
      <c r="E223" s="3">
        <v>0</v>
      </c>
      <c r="F223" s="3">
        <v>0</v>
      </c>
      <c r="G223" s="4">
        <v>23</v>
      </c>
    </row>
    <row r="224" ht="15.15" spans="1:10">
      <c r="A224" s="10" t="s">
        <v>90</v>
      </c>
      <c r="C224" s="3">
        <v>1</v>
      </c>
      <c r="D224" s="3">
        <v>1</v>
      </c>
      <c r="E224" s="3">
        <v>0</v>
      </c>
      <c r="F224" s="3">
        <v>0</v>
      </c>
      <c r="G224" s="4">
        <v>23</v>
      </c>
    </row>
    <row r="225" spans="1:12">
      <c r="A225" s="2" t="s">
        <v>91</v>
      </c>
      <c r="C225" s="3">
        <v>1</v>
      </c>
      <c r="D225" s="3">
        <v>0</v>
      </c>
      <c r="E225" s="3">
        <v>0</v>
      </c>
      <c r="F225" s="3">
        <v>0</v>
      </c>
      <c r="G225" s="4">
        <v>12</v>
      </c>
      <c r="H225" s="1" t="s">
        <v>49</v>
      </c>
      <c r="J225" s="1">
        <v>52</v>
      </c>
    </row>
    <row r="226" spans="1:12">
      <c r="A226" s="2" t="s">
        <v>92</v>
      </c>
      <c r="B226" s="3" t="s">
        <v>93</v>
      </c>
      <c r="C226" s="3">
        <v>1</v>
      </c>
      <c r="D226" s="3">
        <v>0</v>
      </c>
      <c r="E226" s="3">
        <v>0</v>
      </c>
      <c r="F226" s="3">
        <v>0</v>
      </c>
      <c r="G226" s="4">
        <f>15/2</f>
        <v>7.5</v>
      </c>
      <c r="H226" s="1" t="s">
        <v>20</v>
      </c>
    </row>
    <row r="227" spans="1:12">
      <c r="A227" s="2" t="s">
        <v>94</v>
      </c>
      <c r="B227" s="3" t="s">
        <v>95</v>
      </c>
      <c r="C227" s="3">
        <v>1</v>
      </c>
      <c r="D227" s="3">
        <v>1</v>
      </c>
      <c r="E227" s="3">
        <v>0</v>
      </c>
      <c r="F227" s="3">
        <v>0</v>
      </c>
      <c r="G227" s="4">
        <f>25/2</f>
        <v>12.5</v>
      </c>
    </row>
    <row r="228" ht="15.15" spans="1:12">
      <c r="A228" s="2" t="s">
        <v>96</v>
      </c>
      <c r="C228" s="3">
        <v>1</v>
      </c>
      <c r="D228" s="3">
        <v>1</v>
      </c>
      <c r="E228" s="3">
        <v>0</v>
      </c>
      <c r="F228" s="3">
        <v>0</v>
      </c>
      <c r="G228" s="4">
        <f>30/2</f>
        <v>15</v>
      </c>
    </row>
    <row r="229" spans="1:12">
      <c r="A229" s="7" t="s">
        <v>97</v>
      </c>
      <c r="C229" s="3">
        <v>1</v>
      </c>
      <c r="D229" s="3">
        <v>1</v>
      </c>
      <c r="E229" s="3">
        <v>1</v>
      </c>
      <c r="F229" s="3">
        <v>1</v>
      </c>
      <c r="G229" s="4">
        <v>30</v>
      </c>
      <c r="H229" s="1">
        <v>315</v>
      </c>
      <c r="I229" s="3">
        <v>11.19</v>
      </c>
    </row>
    <row r="230" ht="15.15" spans="1:12">
      <c r="A230" s="10" t="s">
        <v>98</v>
      </c>
      <c r="C230" s="3">
        <v>1</v>
      </c>
      <c r="D230" s="3">
        <v>1</v>
      </c>
      <c r="E230" s="3">
        <v>1</v>
      </c>
      <c r="F230" s="3">
        <v>1</v>
      </c>
      <c r="G230" s="4">
        <v>30</v>
      </c>
    </row>
    <row r="231" spans="1:12">
      <c r="A231" s="2" t="s">
        <v>99</v>
      </c>
      <c r="C231" s="3">
        <v>1</v>
      </c>
      <c r="D231" s="3">
        <v>1</v>
      </c>
      <c r="E231" s="3">
        <v>0</v>
      </c>
      <c r="F231" s="3">
        <v>0</v>
      </c>
      <c r="G231" s="4">
        <v>30</v>
      </c>
    </row>
    <row r="232" spans="1:12">
      <c r="A232" s="2" t="s">
        <v>100</v>
      </c>
      <c r="C232" s="3">
        <v>1</v>
      </c>
      <c r="D232" s="3">
        <v>0</v>
      </c>
      <c r="E232" s="3">
        <v>0</v>
      </c>
      <c r="F232" s="3">
        <v>0</v>
      </c>
      <c r="G232" s="4">
        <f>15/2</f>
        <v>7.5</v>
      </c>
      <c r="H232" s="1" t="s">
        <v>36</v>
      </c>
    </row>
    <row r="233" ht="15.15" spans="1:12">
      <c r="A233" s="2" t="s">
        <v>101</v>
      </c>
      <c r="C233" s="3">
        <v>1</v>
      </c>
      <c r="D233" s="3">
        <v>0</v>
      </c>
      <c r="E233" s="3">
        <v>0</v>
      </c>
      <c r="F233" s="3">
        <v>0</v>
      </c>
      <c r="G233" s="4">
        <f>10/2</f>
        <v>5</v>
      </c>
    </row>
    <row r="234" spans="1:12">
      <c r="A234" s="7" t="s">
        <v>102</v>
      </c>
      <c r="C234" s="3">
        <v>1</v>
      </c>
      <c r="D234" s="3">
        <v>0</v>
      </c>
      <c r="E234" s="3">
        <v>0</v>
      </c>
      <c r="F234" s="3">
        <v>0</v>
      </c>
      <c r="G234" s="4">
        <v>12</v>
      </c>
      <c r="H234" s="1" t="s">
        <v>49</v>
      </c>
      <c r="I234" s="15">
        <v>11.2</v>
      </c>
      <c r="L234" s="1">
        <v>1</v>
      </c>
    </row>
    <row r="235" spans="1:12">
      <c r="A235" s="9" t="s">
        <v>103</v>
      </c>
      <c r="C235" s="3">
        <v>1</v>
      </c>
      <c r="D235" s="3">
        <v>0</v>
      </c>
      <c r="E235" s="3">
        <v>0</v>
      </c>
      <c r="F235" s="3">
        <v>0</v>
      </c>
      <c r="G235" s="4">
        <v>12</v>
      </c>
      <c r="I235" s="15"/>
      <c r="L235" s="1">
        <v>1</v>
      </c>
    </row>
    <row r="236" spans="1:12">
      <c r="A236" s="9" t="s">
        <v>104</v>
      </c>
      <c r="C236" s="3">
        <v>1</v>
      </c>
      <c r="D236" s="3">
        <v>0</v>
      </c>
      <c r="E236" s="3">
        <v>0</v>
      </c>
      <c r="F236" s="3">
        <v>0</v>
      </c>
      <c r="G236" s="4">
        <v>14.4</v>
      </c>
      <c r="I236" s="15"/>
      <c r="L236" s="1">
        <v>1</v>
      </c>
    </row>
    <row r="237" spans="1:12">
      <c r="A237" s="10" t="s">
        <v>105</v>
      </c>
      <c r="C237" s="3">
        <v>1</v>
      </c>
      <c r="D237" s="3">
        <v>0</v>
      </c>
      <c r="E237" s="3">
        <v>0</v>
      </c>
      <c r="F237" s="3">
        <v>0</v>
      </c>
      <c r="G237" s="4">
        <v>12</v>
      </c>
      <c r="I237" s="15"/>
      <c r="L237" s="1">
        <v>1</v>
      </c>
    </row>
    <row r="238" spans="1:12">
      <c r="A238" s="2" t="s">
        <v>106</v>
      </c>
      <c r="C238" s="3">
        <v>1</v>
      </c>
      <c r="D238" s="3">
        <v>0</v>
      </c>
      <c r="E238" s="3">
        <v>0</v>
      </c>
      <c r="F238" s="3">
        <v>0</v>
      </c>
      <c r="G238" s="4">
        <v>19.2</v>
      </c>
      <c r="I238" s="15"/>
    </row>
    <row r="239" ht="15.15" spans="1:12">
      <c r="A239" s="2" t="s">
        <v>107</v>
      </c>
      <c r="C239" s="3">
        <v>1</v>
      </c>
      <c r="D239" s="3">
        <v>0</v>
      </c>
      <c r="E239" s="3">
        <v>0</v>
      </c>
      <c r="F239" s="3">
        <v>0</v>
      </c>
      <c r="G239" s="4">
        <v>18.4</v>
      </c>
      <c r="I239" s="15"/>
    </row>
    <row r="240" spans="1:12">
      <c r="A240" s="7" t="s">
        <v>108</v>
      </c>
      <c r="C240" s="3">
        <v>1</v>
      </c>
      <c r="D240" s="3">
        <v>1</v>
      </c>
      <c r="E240" s="3">
        <v>0</v>
      </c>
      <c r="F240" s="3">
        <v>0</v>
      </c>
      <c r="G240" s="4">
        <v>30</v>
      </c>
      <c r="H240" s="1">
        <v>315</v>
      </c>
      <c r="I240" s="15"/>
    </row>
    <row r="241" ht="15.15" spans="1:9">
      <c r="A241" s="10" t="s">
        <v>109</v>
      </c>
      <c r="C241" s="3">
        <v>1</v>
      </c>
      <c r="D241" s="3">
        <v>1</v>
      </c>
      <c r="E241" s="3">
        <v>0</v>
      </c>
      <c r="F241" s="3">
        <v>0</v>
      </c>
      <c r="G241" s="4">
        <v>30</v>
      </c>
      <c r="I241" s="15"/>
    </row>
    <row r="242" spans="1:9">
      <c r="A242" s="2" t="s">
        <v>110</v>
      </c>
      <c r="C242" s="3">
        <v>1</v>
      </c>
      <c r="D242" s="3">
        <v>1</v>
      </c>
      <c r="E242" s="3">
        <v>0</v>
      </c>
      <c r="F242" s="3">
        <v>0</v>
      </c>
      <c r="G242" s="4">
        <f>25/2</f>
        <v>12.5</v>
      </c>
      <c r="H242" s="1" t="s">
        <v>20</v>
      </c>
      <c r="I242" s="15"/>
    </row>
    <row r="243" spans="1:9">
      <c r="A243" s="2" t="s">
        <v>111</v>
      </c>
      <c r="C243" s="3">
        <v>1</v>
      </c>
      <c r="D243" s="3">
        <v>0</v>
      </c>
      <c r="E243" s="3">
        <v>0</v>
      </c>
      <c r="F243" s="3">
        <v>0</v>
      </c>
      <c r="G243" s="4">
        <f t="shared" ref="G243:G247" si="9">20/2</f>
        <v>10</v>
      </c>
      <c r="I243" s="15"/>
    </row>
    <row r="244" ht="15.15" spans="1:9">
      <c r="A244" s="2" t="s">
        <v>112</v>
      </c>
      <c r="C244" s="3">
        <v>1</v>
      </c>
      <c r="D244" s="3">
        <v>0</v>
      </c>
      <c r="E244" s="3">
        <v>0</v>
      </c>
      <c r="F244" s="3">
        <v>0</v>
      </c>
      <c r="G244" s="4">
        <v>18</v>
      </c>
      <c r="H244" s="1">
        <v>315</v>
      </c>
      <c r="I244" s="3">
        <v>11.21</v>
      </c>
    </row>
    <row r="245" spans="1:9">
      <c r="A245" s="7" t="s">
        <v>113</v>
      </c>
      <c r="C245" s="3">
        <v>1</v>
      </c>
      <c r="D245" s="3">
        <v>1</v>
      </c>
      <c r="E245" s="3">
        <v>0</v>
      </c>
      <c r="F245" s="3">
        <v>0</v>
      </c>
      <c r="G245" s="4">
        <f t="shared" si="9"/>
        <v>10</v>
      </c>
      <c r="H245" s="1" t="s">
        <v>36</v>
      </c>
    </row>
    <row r="246" spans="1:9">
      <c r="A246" s="9" t="s">
        <v>114</v>
      </c>
      <c r="C246" s="3">
        <v>1</v>
      </c>
      <c r="D246" s="3">
        <v>1</v>
      </c>
      <c r="E246" s="3">
        <v>0</v>
      </c>
      <c r="F246" s="3">
        <v>0</v>
      </c>
      <c r="G246" s="4">
        <f t="shared" si="9"/>
        <v>10</v>
      </c>
    </row>
    <row r="247" ht="15.15" spans="1:9">
      <c r="A247" s="10" t="s">
        <v>115</v>
      </c>
      <c r="C247" s="3">
        <v>1</v>
      </c>
      <c r="D247" s="3">
        <v>1</v>
      </c>
      <c r="E247" s="3">
        <v>0</v>
      </c>
      <c r="F247" s="3">
        <v>0</v>
      </c>
      <c r="G247" s="4">
        <f t="shared" si="9"/>
        <v>10</v>
      </c>
    </row>
    <row r="248" spans="1:9">
      <c r="A248" s="2" t="s">
        <v>116</v>
      </c>
      <c r="C248" s="3">
        <v>1</v>
      </c>
      <c r="D248" s="3">
        <v>1</v>
      </c>
      <c r="E248" s="3">
        <v>1</v>
      </c>
      <c r="F248" s="3">
        <v>1</v>
      </c>
      <c r="G248" s="4">
        <v>32</v>
      </c>
      <c r="H248" s="1">
        <v>315</v>
      </c>
      <c r="I248" s="3">
        <v>11.22</v>
      </c>
    </row>
    <row r="249" spans="1:9">
      <c r="A249" s="2" t="s">
        <v>117</v>
      </c>
      <c r="C249" s="3">
        <v>1</v>
      </c>
      <c r="D249" s="3">
        <v>0</v>
      </c>
      <c r="E249" s="3">
        <v>0</v>
      </c>
      <c r="F249" s="3">
        <v>0</v>
      </c>
      <c r="G249" s="4">
        <v>12.8</v>
      </c>
      <c r="H249" s="1" t="s">
        <v>49</v>
      </c>
      <c r="I249" s="3">
        <v>11.24</v>
      </c>
    </row>
    <row r="250" ht="15.15" spans="1:9">
      <c r="A250" s="2" t="s">
        <v>118</v>
      </c>
      <c r="C250" s="3">
        <v>1</v>
      </c>
      <c r="D250" s="3">
        <v>1</v>
      </c>
      <c r="E250" s="3">
        <v>1</v>
      </c>
      <c r="F250" s="3">
        <v>1</v>
      </c>
      <c r="G250" s="4">
        <v>32</v>
      </c>
      <c r="H250" s="1">
        <v>315</v>
      </c>
    </row>
    <row r="251" spans="1:9">
      <c r="A251" s="7" t="s">
        <v>119</v>
      </c>
      <c r="C251" s="3">
        <v>1</v>
      </c>
      <c r="D251" s="3">
        <v>1</v>
      </c>
      <c r="E251" s="3">
        <v>0</v>
      </c>
      <c r="F251" s="3">
        <v>1</v>
      </c>
      <c r="G251" s="4">
        <f t="shared" ref="G251:G256" si="10">20/2</f>
        <v>10</v>
      </c>
      <c r="H251" s="1" t="s">
        <v>36</v>
      </c>
      <c r="I251" s="3">
        <v>11.25</v>
      </c>
    </row>
    <row r="252" spans="1:9">
      <c r="A252" s="9" t="s">
        <v>120</v>
      </c>
      <c r="C252" s="3">
        <v>1</v>
      </c>
      <c r="D252" s="3">
        <v>0</v>
      </c>
      <c r="E252" s="3">
        <v>1</v>
      </c>
      <c r="F252" s="3">
        <v>1</v>
      </c>
      <c r="G252" s="4">
        <f t="shared" ref="G252:G254" si="11">18/2</f>
        <v>9</v>
      </c>
    </row>
    <row r="253" spans="1:9">
      <c r="A253" s="9" t="s">
        <v>121</v>
      </c>
      <c r="C253" s="3">
        <v>1</v>
      </c>
      <c r="D253" s="3">
        <v>0</v>
      </c>
      <c r="E253" s="3">
        <v>1</v>
      </c>
      <c r="F253" s="3">
        <v>1</v>
      </c>
      <c r="G253" s="4">
        <f t="shared" si="11"/>
        <v>9</v>
      </c>
    </row>
    <row r="254" ht="15.15" spans="1:9">
      <c r="A254" s="10" t="s">
        <v>122</v>
      </c>
      <c r="C254" s="3">
        <v>1</v>
      </c>
      <c r="D254" s="3">
        <v>0</v>
      </c>
      <c r="E254" s="3">
        <v>1</v>
      </c>
      <c r="F254" s="3">
        <v>1</v>
      </c>
      <c r="G254" s="4">
        <f t="shared" si="11"/>
        <v>9</v>
      </c>
    </row>
    <row r="255" spans="1:9">
      <c r="A255" s="7" t="s">
        <v>123</v>
      </c>
      <c r="C255" s="3">
        <v>1</v>
      </c>
      <c r="D255" s="3">
        <v>0</v>
      </c>
      <c r="E255" s="3">
        <v>0</v>
      </c>
      <c r="F255" s="3">
        <v>0</v>
      </c>
      <c r="G255" s="4">
        <f t="shared" si="10"/>
        <v>10</v>
      </c>
      <c r="H255" s="1" t="s">
        <v>20</v>
      </c>
    </row>
    <row r="256" spans="1:9">
      <c r="A256" s="9" t="s">
        <v>124</v>
      </c>
      <c r="C256" s="3">
        <v>1</v>
      </c>
      <c r="D256" s="3">
        <v>0</v>
      </c>
      <c r="E256" s="3">
        <v>0</v>
      </c>
      <c r="F256" s="3">
        <v>0</v>
      </c>
      <c r="G256" s="4">
        <f t="shared" si="10"/>
        <v>10</v>
      </c>
    </row>
    <row r="257" ht="15.15" spans="1:9">
      <c r="A257" s="10" t="s">
        <v>125</v>
      </c>
      <c r="C257" s="3">
        <v>1</v>
      </c>
      <c r="D257" s="3">
        <v>1</v>
      </c>
      <c r="E257" s="3">
        <v>1</v>
      </c>
      <c r="F257" s="3">
        <v>1</v>
      </c>
      <c r="G257" s="4">
        <f>35/2</f>
        <v>17.5</v>
      </c>
    </row>
    <row r="258" spans="1:9">
      <c r="A258" s="2" t="s">
        <v>126</v>
      </c>
      <c r="C258" s="3">
        <v>1</v>
      </c>
      <c r="D258" s="3">
        <v>0</v>
      </c>
      <c r="E258" s="3">
        <v>0</v>
      </c>
      <c r="F258" s="3">
        <v>0</v>
      </c>
      <c r="G258" s="4">
        <v>25</v>
      </c>
      <c r="H258" s="1">
        <v>315</v>
      </c>
    </row>
    <row r="259" spans="1:9">
      <c r="A259" s="2" t="s">
        <v>127</v>
      </c>
      <c r="C259" s="3">
        <v>1</v>
      </c>
      <c r="D259" s="3">
        <v>0</v>
      </c>
      <c r="E259" s="3">
        <v>0</v>
      </c>
      <c r="F259" s="3">
        <v>0</v>
      </c>
      <c r="G259" s="4">
        <v>12</v>
      </c>
      <c r="H259" s="1" t="s">
        <v>49</v>
      </c>
      <c r="I259" s="3">
        <v>11.26</v>
      </c>
    </row>
    <row r="260" spans="1:9">
      <c r="A260" s="2" t="s">
        <v>128</v>
      </c>
      <c r="C260" s="3">
        <v>1</v>
      </c>
      <c r="D260" s="3">
        <v>0</v>
      </c>
      <c r="E260" s="3">
        <v>0</v>
      </c>
      <c r="F260" s="3">
        <v>0</v>
      </c>
      <c r="G260" s="4">
        <v>10.4</v>
      </c>
    </row>
    <row r="261" spans="1:9">
      <c r="A261" s="2" t="s">
        <v>129</v>
      </c>
      <c r="C261" s="3">
        <v>1</v>
      </c>
      <c r="D261" s="3">
        <v>1</v>
      </c>
      <c r="E261" s="3">
        <v>0</v>
      </c>
      <c r="F261" s="3">
        <v>0</v>
      </c>
      <c r="G261" s="4">
        <v>7</v>
      </c>
      <c r="H261" s="1">
        <v>315</v>
      </c>
    </row>
    <row r="262" spans="1:9">
      <c r="A262" s="2" t="s">
        <v>130</v>
      </c>
      <c r="C262" s="3">
        <v>1</v>
      </c>
      <c r="D262" s="3">
        <v>1</v>
      </c>
      <c r="E262" s="3">
        <v>0</v>
      </c>
      <c r="F262" s="3">
        <v>0</v>
      </c>
      <c r="G262" s="4">
        <v>20</v>
      </c>
    </row>
    <row r="263" spans="1:9">
      <c r="A263" s="2" t="s">
        <v>60</v>
      </c>
      <c r="C263" s="3">
        <v>0</v>
      </c>
      <c r="D263" s="3">
        <v>1</v>
      </c>
      <c r="E263" s="3">
        <v>0</v>
      </c>
      <c r="F263" s="3">
        <v>0</v>
      </c>
      <c r="G263" s="4">
        <f t="shared" ref="G263:G265" si="12">8/2</f>
        <v>4</v>
      </c>
      <c r="H263" s="1" t="s">
        <v>36</v>
      </c>
      <c r="I263" s="3">
        <v>11.28</v>
      </c>
    </row>
    <row r="264" spans="1:9">
      <c r="A264" s="2" t="s">
        <v>62</v>
      </c>
      <c r="C264" s="3">
        <v>0</v>
      </c>
      <c r="D264" s="3">
        <v>1</v>
      </c>
      <c r="E264" s="3">
        <v>0</v>
      </c>
      <c r="F264" s="3">
        <v>0</v>
      </c>
      <c r="G264" s="4">
        <f t="shared" si="12"/>
        <v>4</v>
      </c>
    </row>
    <row r="265" spans="1:9">
      <c r="A265" s="2" t="s">
        <v>61</v>
      </c>
      <c r="C265" s="3">
        <v>0</v>
      </c>
      <c r="D265" s="3">
        <v>1</v>
      </c>
      <c r="E265" s="3">
        <v>0</v>
      </c>
      <c r="F265" s="3">
        <v>0</v>
      </c>
      <c r="G265" s="4">
        <f t="shared" si="12"/>
        <v>4</v>
      </c>
    </row>
    <row r="266" spans="1:9">
      <c r="A266" s="2" t="s">
        <v>131</v>
      </c>
      <c r="C266" s="3">
        <v>1</v>
      </c>
      <c r="D266" s="3">
        <v>0</v>
      </c>
      <c r="E266" s="3">
        <v>0</v>
      </c>
      <c r="F266" s="3">
        <v>0</v>
      </c>
      <c r="G266" s="4">
        <v>10</v>
      </c>
      <c r="H266" s="1" t="s">
        <v>49</v>
      </c>
      <c r="I266" s="3">
        <v>11.29</v>
      </c>
    </row>
  </sheetData>
  <mergeCells count="101">
    <mergeCell ref="G2:G8"/>
    <mergeCell ref="G9:G11"/>
    <mergeCell ref="G12:G15"/>
    <mergeCell ref="G34:G37"/>
    <mergeCell ref="G38:G43"/>
    <mergeCell ref="G44:G49"/>
    <mergeCell ref="G51:G55"/>
    <mergeCell ref="G59:G63"/>
    <mergeCell ref="G65:G68"/>
    <mergeCell ref="G70:G72"/>
    <mergeCell ref="G78:G82"/>
    <mergeCell ref="G110:G112"/>
    <mergeCell ref="G126:G128"/>
    <mergeCell ref="G130:G136"/>
    <mergeCell ref="G141:G144"/>
    <mergeCell ref="G148:G149"/>
    <mergeCell ref="G151:G152"/>
    <mergeCell ref="G157:G158"/>
    <mergeCell ref="G159:G160"/>
    <mergeCell ref="G171:G175"/>
    <mergeCell ref="G206:G209"/>
    <mergeCell ref="H2:H8"/>
    <mergeCell ref="H9:H11"/>
    <mergeCell ref="H12:H15"/>
    <mergeCell ref="H16:H21"/>
    <mergeCell ref="H22:H28"/>
    <mergeCell ref="H29:H32"/>
    <mergeCell ref="H34:H49"/>
    <mergeCell ref="H50:H58"/>
    <mergeCell ref="H59:H63"/>
    <mergeCell ref="H64:H68"/>
    <mergeCell ref="H69:H75"/>
    <mergeCell ref="H77:H82"/>
    <mergeCell ref="H83:H91"/>
    <mergeCell ref="H93:H104"/>
    <mergeCell ref="H105:H112"/>
    <mergeCell ref="H113:H114"/>
    <mergeCell ref="H115:H119"/>
    <mergeCell ref="H120:H121"/>
    <mergeCell ref="H122:H125"/>
    <mergeCell ref="H126:H128"/>
    <mergeCell ref="H129:H136"/>
    <mergeCell ref="H137:H150"/>
    <mergeCell ref="H151:H152"/>
    <mergeCell ref="H154:H155"/>
    <mergeCell ref="H156:H162"/>
    <mergeCell ref="H164:H169"/>
    <mergeCell ref="H171:H176"/>
    <mergeCell ref="H177:H179"/>
    <mergeCell ref="H181:H183"/>
    <mergeCell ref="H184:H190"/>
    <mergeCell ref="H193:H194"/>
    <mergeCell ref="H195:H199"/>
    <mergeCell ref="H200:H201"/>
    <mergeCell ref="H202:H203"/>
    <mergeCell ref="H204:H210"/>
    <mergeCell ref="H211:H213"/>
    <mergeCell ref="H215:H217"/>
    <mergeCell ref="H218:H220"/>
    <mergeCell ref="H221:H224"/>
    <mergeCell ref="H226:H228"/>
    <mergeCell ref="H229:H231"/>
    <mergeCell ref="H232:H233"/>
    <mergeCell ref="H234:H239"/>
    <mergeCell ref="H240:H241"/>
    <mergeCell ref="H242:H243"/>
    <mergeCell ref="H245:H247"/>
    <mergeCell ref="H251:H254"/>
    <mergeCell ref="H255:H257"/>
    <mergeCell ref="H259:H260"/>
    <mergeCell ref="H261:H262"/>
    <mergeCell ref="H263:H265"/>
    <mergeCell ref="I2:I11"/>
    <mergeCell ref="I12:I15"/>
    <mergeCell ref="I16:I20"/>
    <mergeCell ref="I22:I58"/>
    <mergeCell ref="I59:I91"/>
    <mergeCell ref="I93:I114"/>
    <mergeCell ref="I115:I119"/>
    <mergeCell ref="I120:I136"/>
    <mergeCell ref="I137:I150"/>
    <mergeCell ref="I151:I153"/>
    <mergeCell ref="I154:I163"/>
    <mergeCell ref="I164:I179"/>
    <mergeCell ref="I180:I190"/>
    <mergeCell ref="I192:I194"/>
    <mergeCell ref="I195:I201"/>
    <mergeCell ref="I202:I203"/>
    <mergeCell ref="I204:I213"/>
    <mergeCell ref="I214:I220"/>
    <mergeCell ref="I221:I228"/>
    <mergeCell ref="I229:I233"/>
    <mergeCell ref="I234:I243"/>
    <mergeCell ref="I244:I247"/>
    <mergeCell ref="I249:I250"/>
    <mergeCell ref="I251:I258"/>
    <mergeCell ref="I259:I262"/>
    <mergeCell ref="I263:I265"/>
    <mergeCell ref="M2:M8"/>
    <mergeCell ref="N141:N144"/>
    <mergeCell ref="O65:O68"/>
  </mergeCells>
  <pageMargins left="0.699912516150888" right="0.699912516150888" top="0.74990626395218" bottom="0.74990626395218" header="0.299962510274151" footer="0.299962510274151"/>
  <headerFooter/>
  <ignoredErrors>
    <ignoredError sqref="A137:Q167 H24:Q27 A24:F27 H12:Q21 A12:F21 A10:Q11 H9:Q9 A9:F9 A2:Q8 A1:O1 A33:Q33 P32:Q32 A32:N32 A29:Q31 N23:Q23 C23:K23 A23 A22:Q22 B168:O168 A169:Q192 A193:C193 E193:F193 H193:Q193 A194:Q213 H131:Q136 A131:F136 A129:Q130 H127:Q128 A127:F128 A121:Q126 H115:Q120 A115:F120 A113:Q114 H110:Q112 A110:F112 A105:Q109 H93:Q104 A93:F104 A92:Q92 H79:Q91 A79:F91 A77:Q78 H73:Q75 H76:N76 P76:Q76 A73:F76 A71:Q72 H65:N65 P65:Q65 H66:Q70 A65:F70 A64:Q64 H60:Q63 A60:F63 A59:Q59 H34:Q58 A34:F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PJZ110</dc:creator>
  <cp:lastModifiedBy>皓月烟云So</cp:lastModifiedBy>
  <dcterms:created xsi:type="dcterms:W3CDTF">2023-05-12T03:15:00Z</dcterms:created>
  <dcterms:modified xsi:type="dcterms:W3CDTF">2025-11-29T05:55:56Z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5c6e632bea7149f9882f1e4affc16edd_23</vt:lpwstr>
  </property>
</Properties>
</file>